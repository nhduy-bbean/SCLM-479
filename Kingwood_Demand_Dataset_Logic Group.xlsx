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DMIN\OneDrive\Desktop\slcm 479\"/>
    </mc:Choice>
  </mc:AlternateContent>
  <xr:revisionPtr revIDLastSave="0" documentId="13_ncr:1_{F56ADB4E-EA20-46A3-8353-9A1174B48130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Inventory level" sheetId="18" r:id="rId1"/>
    <sheet name="Project Data" sheetId="1" r:id="rId2"/>
    <sheet name="Data-quarterly" sheetId="2" r:id="rId3"/>
    <sheet name="New order" sheetId="3" r:id="rId4"/>
    <sheet name="BOM" sheetId="8" r:id="rId5"/>
    <sheet name="Supplier evalutaion" sheetId="11" r:id="rId6"/>
    <sheet name="Requirement" sheetId="9" r:id="rId7"/>
    <sheet name="Manage stocks" sheetId="17" r:id="rId8"/>
    <sheet name="safety stocks" sheetId="14" r:id="rId9"/>
  </sheets>
  <externalReferences>
    <externalReference r:id="rId10"/>
  </externalReferences>
  <definedNames>
    <definedName name="_xlnm._FilterDatabase" localSheetId="4" hidden="1">BOM!$A$1:$N$2</definedName>
    <definedName name="_xlnm._FilterDatabase" localSheetId="0" hidden="1">'Inventory level'!$B$1:$F$104</definedName>
    <definedName name="_xlnm._FilterDatabase" localSheetId="7" hidden="1">'Manage stocks'!$A$1:$AB$1</definedName>
    <definedName name="_xlnm._FilterDatabase" localSheetId="6" hidden="1">Requirement!$A$1:$T$2</definedName>
    <definedName name="_xlnm._FilterDatabase" localSheetId="8" hidden="1">'safety stocks'!$A$1:$U$1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4" i="18" l="1"/>
  <c r="E103" i="18"/>
  <c r="E102" i="18"/>
  <c r="D102" i="18"/>
  <c r="E101" i="18"/>
  <c r="D101" i="18"/>
  <c r="E100" i="18"/>
  <c r="D100" i="18"/>
  <c r="E99" i="18"/>
  <c r="D99" i="18"/>
  <c r="E98" i="18"/>
  <c r="D98" i="18"/>
  <c r="E97" i="18"/>
  <c r="D97" i="18"/>
  <c r="E96" i="18"/>
  <c r="D96" i="18"/>
  <c r="E95" i="18"/>
  <c r="D95" i="18"/>
  <c r="E94" i="18"/>
  <c r="D94" i="18"/>
  <c r="E93" i="18"/>
  <c r="D93" i="18"/>
  <c r="E92" i="18"/>
  <c r="D92" i="18"/>
  <c r="E91" i="18"/>
  <c r="D91" i="18"/>
  <c r="E90" i="18"/>
  <c r="D90" i="18"/>
  <c r="E89" i="18"/>
  <c r="D89" i="18"/>
  <c r="E88" i="18"/>
  <c r="D88" i="18"/>
  <c r="E87" i="18"/>
  <c r="D87" i="18"/>
  <c r="E86" i="18"/>
  <c r="D86" i="18"/>
  <c r="E85" i="18"/>
  <c r="D85" i="18"/>
  <c r="E84" i="18"/>
  <c r="D84" i="18"/>
  <c r="E83" i="18"/>
  <c r="D83" i="18"/>
  <c r="E82" i="18"/>
  <c r="D82" i="18"/>
  <c r="E81" i="18"/>
  <c r="D81" i="18"/>
  <c r="E80" i="18"/>
  <c r="D80" i="18"/>
  <c r="E79" i="18"/>
  <c r="D79" i="18"/>
  <c r="E78" i="18"/>
  <c r="D78" i="18"/>
  <c r="E77" i="18"/>
  <c r="D77" i="18"/>
  <c r="E76" i="18"/>
  <c r="D76" i="18"/>
  <c r="E75" i="18"/>
  <c r="D75" i="18"/>
  <c r="E74" i="18"/>
  <c r="D74" i="18"/>
  <c r="E73" i="18"/>
  <c r="D73" i="18"/>
  <c r="E72" i="18"/>
  <c r="D72" i="18"/>
  <c r="E71" i="18"/>
  <c r="D71" i="18"/>
  <c r="E70" i="18"/>
  <c r="D70" i="18"/>
  <c r="E69" i="18"/>
  <c r="D69" i="18"/>
  <c r="E68" i="18"/>
  <c r="D68" i="18"/>
  <c r="E67" i="18"/>
  <c r="D67" i="18"/>
  <c r="E66" i="18"/>
  <c r="D66" i="18"/>
  <c r="E65" i="18"/>
  <c r="D65" i="18"/>
  <c r="E64" i="18"/>
  <c r="D64" i="18"/>
  <c r="E63" i="18"/>
  <c r="D63" i="18"/>
  <c r="E62" i="18"/>
  <c r="D62" i="18"/>
  <c r="E61" i="18"/>
  <c r="D61" i="18"/>
  <c r="E60" i="18"/>
  <c r="D60" i="18"/>
  <c r="E59" i="18"/>
  <c r="D59" i="18"/>
  <c r="E58" i="18"/>
  <c r="D58" i="18"/>
  <c r="E57" i="18"/>
  <c r="D57" i="18"/>
  <c r="E56" i="18"/>
  <c r="D56" i="18"/>
  <c r="E55" i="18"/>
  <c r="D55" i="18"/>
  <c r="E54" i="18"/>
  <c r="D54" i="18"/>
  <c r="E53" i="18"/>
  <c r="D53" i="18"/>
  <c r="E52" i="18"/>
  <c r="D52" i="18"/>
  <c r="E51" i="18"/>
  <c r="D51" i="18"/>
  <c r="E50" i="18"/>
  <c r="D50" i="18"/>
  <c r="E49" i="18"/>
  <c r="D49" i="18"/>
  <c r="E48" i="18"/>
  <c r="D48" i="18"/>
  <c r="E47" i="18"/>
  <c r="D47" i="18"/>
  <c r="E46" i="18"/>
  <c r="D46" i="18"/>
  <c r="E45" i="18"/>
  <c r="D45" i="18"/>
  <c r="E44" i="18"/>
  <c r="D44" i="18"/>
  <c r="E43" i="18"/>
  <c r="D43" i="18"/>
  <c r="E42" i="18"/>
  <c r="D42" i="18"/>
  <c r="E41" i="18"/>
  <c r="D41" i="18"/>
  <c r="E40" i="18"/>
  <c r="D40" i="18"/>
  <c r="E39" i="18"/>
  <c r="D39" i="18"/>
  <c r="E38" i="18"/>
  <c r="D38" i="18"/>
  <c r="E37" i="18"/>
  <c r="D37" i="18"/>
  <c r="E36" i="18"/>
  <c r="D36" i="18"/>
  <c r="E35" i="18"/>
  <c r="D35" i="18"/>
  <c r="E34" i="18"/>
  <c r="D34" i="18"/>
  <c r="E33" i="18"/>
  <c r="D33" i="18"/>
  <c r="E32" i="18"/>
  <c r="D32" i="18"/>
  <c r="E31" i="18"/>
  <c r="D31" i="18"/>
  <c r="E30" i="18"/>
  <c r="D30" i="18"/>
  <c r="E29" i="18"/>
  <c r="D29" i="18"/>
  <c r="E28" i="18"/>
  <c r="D28" i="18"/>
  <c r="E27" i="18"/>
  <c r="D27" i="18"/>
  <c r="E26" i="18"/>
  <c r="D26" i="18"/>
  <c r="E25" i="18"/>
  <c r="D25" i="18"/>
  <c r="E24" i="18"/>
  <c r="D24" i="18"/>
  <c r="E23" i="18"/>
  <c r="D23" i="18"/>
  <c r="E22" i="18"/>
  <c r="D22" i="18"/>
  <c r="E21" i="18"/>
  <c r="D21" i="18"/>
  <c r="E20" i="18"/>
  <c r="D20" i="18"/>
  <c r="E19" i="18"/>
  <c r="D19" i="18"/>
  <c r="E18" i="18"/>
  <c r="D18" i="18"/>
  <c r="E17" i="18"/>
  <c r="D17" i="18"/>
  <c r="E16" i="18"/>
  <c r="D16" i="18"/>
  <c r="E15" i="18"/>
  <c r="D15" i="18"/>
  <c r="E14" i="18"/>
  <c r="D14" i="18"/>
  <c r="E13" i="18"/>
  <c r="D13" i="18"/>
  <c r="E12" i="18"/>
  <c r="D12" i="18"/>
  <c r="E11" i="18"/>
  <c r="D11" i="18"/>
  <c r="E10" i="18"/>
  <c r="D10" i="18"/>
  <c r="E9" i="18"/>
  <c r="D9" i="18"/>
  <c r="E8" i="18"/>
  <c r="D8" i="18"/>
  <c r="E7" i="18"/>
  <c r="D7" i="18"/>
  <c r="E6" i="18"/>
  <c r="D6" i="18"/>
  <c r="E5" i="18"/>
  <c r="D5" i="18"/>
  <c r="E4" i="18"/>
  <c r="D4" i="18"/>
  <c r="E3" i="18"/>
  <c r="D3" i="18"/>
  <c r="E2" i="18"/>
  <c r="D2" i="18"/>
  <c r="G21" i="17"/>
  <c r="H21" i="17" s="1"/>
  <c r="G83" i="17"/>
  <c r="H83" i="17" s="1"/>
  <c r="J83" i="17" s="1"/>
  <c r="K83" i="17" s="1"/>
  <c r="M83" i="17" s="1"/>
  <c r="N83" i="17" s="1"/>
  <c r="P83" i="17" s="1"/>
  <c r="Q83" i="17" s="1"/>
  <c r="S83" i="17" s="1"/>
  <c r="T83" i="17" s="1"/>
  <c r="V83" i="17" s="1"/>
  <c r="W83" i="17" s="1"/>
  <c r="Y83" i="17" s="1"/>
  <c r="Z83" i="17" s="1"/>
  <c r="G12" i="17"/>
  <c r="H12" i="17" s="1"/>
  <c r="J12" i="17" s="1"/>
  <c r="K12" i="17" s="1"/>
  <c r="M12" i="17" s="1"/>
  <c r="N12" i="17" s="1"/>
  <c r="P12" i="17" s="1"/>
  <c r="Q12" i="17" s="1"/>
  <c r="S12" i="17" s="1"/>
  <c r="T12" i="17" s="1"/>
  <c r="V12" i="17" s="1"/>
  <c r="W12" i="17" s="1"/>
  <c r="Y12" i="17" s="1"/>
  <c r="Z12" i="17" s="1"/>
  <c r="G76" i="17"/>
  <c r="H76" i="17" s="1"/>
  <c r="J76" i="17" s="1"/>
  <c r="K76" i="17" s="1"/>
  <c r="M76" i="17" s="1"/>
  <c r="N76" i="17" s="1"/>
  <c r="P76" i="17" s="1"/>
  <c r="Q76" i="17" s="1"/>
  <c r="S76" i="17" s="1"/>
  <c r="T76" i="17" s="1"/>
  <c r="V76" i="17" s="1"/>
  <c r="W76" i="17" s="1"/>
  <c r="Y76" i="17" s="1"/>
  <c r="Z76" i="17" s="1"/>
  <c r="G77" i="17"/>
  <c r="H77" i="17" s="1"/>
  <c r="J77" i="17" s="1"/>
  <c r="K77" i="17" s="1"/>
  <c r="M77" i="17" s="1"/>
  <c r="N77" i="17" s="1"/>
  <c r="P77" i="17" s="1"/>
  <c r="Q77" i="17" s="1"/>
  <c r="S77" i="17" s="1"/>
  <c r="T77" i="17" s="1"/>
  <c r="V77" i="17" s="1"/>
  <c r="W77" i="17" s="1"/>
  <c r="Y77" i="17" s="1"/>
  <c r="Z77" i="17" s="1"/>
  <c r="G82" i="17"/>
  <c r="H82" i="17" s="1"/>
  <c r="J82" i="17" s="1"/>
  <c r="K82" i="17" s="1"/>
  <c r="M82" i="17" s="1"/>
  <c r="N82" i="17" s="1"/>
  <c r="P82" i="17" s="1"/>
  <c r="Q82" i="17" s="1"/>
  <c r="S82" i="17" s="1"/>
  <c r="T82" i="17" s="1"/>
  <c r="V82" i="17" s="1"/>
  <c r="W82" i="17" s="1"/>
  <c r="Y82" i="17" s="1"/>
  <c r="Z82" i="17" s="1"/>
  <c r="G81" i="17"/>
  <c r="H81" i="17" s="1"/>
  <c r="J81" i="17" s="1"/>
  <c r="K81" i="17" s="1"/>
  <c r="M81" i="17" s="1"/>
  <c r="N81" i="17" s="1"/>
  <c r="P81" i="17" s="1"/>
  <c r="Q81" i="17" s="1"/>
  <c r="S81" i="17" s="1"/>
  <c r="T81" i="17" s="1"/>
  <c r="V81" i="17" s="1"/>
  <c r="W81" i="17" s="1"/>
  <c r="Y81" i="17" s="1"/>
  <c r="Z81" i="17" s="1"/>
  <c r="G80" i="17"/>
  <c r="H80" i="17" s="1"/>
  <c r="J80" i="17" s="1"/>
  <c r="K80" i="17" s="1"/>
  <c r="M80" i="17" s="1"/>
  <c r="N80" i="17" s="1"/>
  <c r="P80" i="17" s="1"/>
  <c r="Q80" i="17" s="1"/>
  <c r="S80" i="17" s="1"/>
  <c r="T80" i="17" s="1"/>
  <c r="V80" i="17" s="1"/>
  <c r="W80" i="17" s="1"/>
  <c r="Y80" i="17" s="1"/>
  <c r="Z80" i="17" s="1"/>
  <c r="G41" i="17"/>
  <c r="H41" i="17" s="1"/>
  <c r="J41" i="17" s="1"/>
  <c r="K41" i="17" s="1"/>
  <c r="M41" i="17" s="1"/>
  <c r="N41" i="17" s="1"/>
  <c r="P41" i="17" s="1"/>
  <c r="Q41" i="17" s="1"/>
  <c r="S41" i="17" s="1"/>
  <c r="T41" i="17" s="1"/>
  <c r="V41" i="17" s="1"/>
  <c r="W41" i="17" s="1"/>
  <c r="Y41" i="17" s="1"/>
  <c r="Z41" i="17" s="1"/>
  <c r="G43" i="17"/>
  <c r="H43" i="17" s="1"/>
  <c r="G42" i="17"/>
  <c r="H42" i="17" s="1"/>
  <c r="G17" i="17"/>
  <c r="H17" i="17" s="1"/>
  <c r="J17" i="17" s="1"/>
  <c r="K17" i="17" s="1"/>
  <c r="M17" i="17" s="1"/>
  <c r="N17" i="17" s="1"/>
  <c r="P17" i="17" s="1"/>
  <c r="Q17" i="17" s="1"/>
  <c r="S17" i="17" s="1"/>
  <c r="T17" i="17" s="1"/>
  <c r="V17" i="17" s="1"/>
  <c r="W17" i="17" s="1"/>
  <c r="Y17" i="17" s="1"/>
  <c r="Z17" i="17" s="1"/>
  <c r="G53" i="17"/>
  <c r="H53" i="17" s="1"/>
  <c r="J53" i="17" s="1"/>
  <c r="K53" i="17" s="1"/>
  <c r="M53" i="17" s="1"/>
  <c r="N53" i="17" s="1"/>
  <c r="P53" i="17" s="1"/>
  <c r="Q53" i="17" s="1"/>
  <c r="S53" i="17" s="1"/>
  <c r="T53" i="17" s="1"/>
  <c r="V53" i="17" s="1"/>
  <c r="W53" i="17" s="1"/>
  <c r="Y53" i="17" s="1"/>
  <c r="Z53" i="17" s="1"/>
  <c r="G70" i="17"/>
  <c r="H70" i="17" s="1"/>
  <c r="J70" i="17" s="1"/>
  <c r="K70" i="17" s="1"/>
  <c r="M70" i="17" s="1"/>
  <c r="N70" i="17" s="1"/>
  <c r="P70" i="17" s="1"/>
  <c r="Q70" i="17" s="1"/>
  <c r="S70" i="17" s="1"/>
  <c r="T70" i="17" s="1"/>
  <c r="V70" i="17" s="1"/>
  <c r="W70" i="17" s="1"/>
  <c r="Y70" i="17" s="1"/>
  <c r="Z70" i="17" s="1"/>
  <c r="G71" i="17"/>
  <c r="H71" i="17" s="1"/>
  <c r="J71" i="17" s="1"/>
  <c r="K71" i="17" s="1"/>
  <c r="M71" i="17" s="1"/>
  <c r="N71" i="17" s="1"/>
  <c r="P71" i="17" s="1"/>
  <c r="Q71" i="17" s="1"/>
  <c r="S71" i="17" s="1"/>
  <c r="T71" i="17" s="1"/>
  <c r="V71" i="17" s="1"/>
  <c r="W71" i="17" s="1"/>
  <c r="Y71" i="17" s="1"/>
  <c r="Z71" i="17" s="1"/>
  <c r="G72" i="17"/>
  <c r="H72" i="17" s="1"/>
  <c r="J72" i="17" s="1"/>
  <c r="G73" i="17"/>
  <c r="H73" i="17" s="1"/>
  <c r="J73" i="17" s="1"/>
  <c r="G51" i="17"/>
  <c r="H51" i="17" s="1"/>
  <c r="J51" i="17" s="1"/>
  <c r="G75" i="17"/>
  <c r="H75" i="17" s="1"/>
  <c r="J75" i="17" s="1"/>
  <c r="K75" i="17" s="1"/>
  <c r="M75" i="17" s="1"/>
  <c r="N75" i="17" s="1"/>
  <c r="P75" i="17" s="1"/>
  <c r="Q75" i="17" s="1"/>
  <c r="S75" i="17" s="1"/>
  <c r="T75" i="17" s="1"/>
  <c r="V75" i="17" s="1"/>
  <c r="W75" i="17" s="1"/>
  <c r="Y75" i="17" s="1"/>
  <c r="Z75" i="17" s="1"/>
  <c r="G52" i="17"/>
  <c r="H52" i="17" s="1"/>
  <c r="J52" i="17" s="1"/>
  <c r="K52" i="17" s="1"/>
  <c r="M52" i="17" s="1"/>
  <c r="N52" i="17" s="1"/>
  <c r="P52" i="17" s="1"/>
  <c r="Q52" i="17" s="1"/>
  <c r="S52" i="17" s="1"/>
  <c r="T52" i="17" s="1"/>
  <c r="V52" i="17" s="1"/>
  <c r="W52" i="17" s="1"/>
  <c r="Y52" i="17" s="1"/>
  <c r="Z52" i="17" s="1"/>
  <c r="G35" i="17"/>
  <c r="H35" i="17" s="1"/>
  <c r="J35" i="17" s="1"/>
  <c r="K35" i="17" s="1"/>
  <c r="M35" i="17" s="1"/>
  <c r="N35" i="17" s="1"/>
  <c r="P35" i="17" s="1"/>
  <c r="Q35" i="17" s="1"/>
  <c r="S35" i="17" s="1"/>
  <c r="T35" i="17" s="1"/>
  <c r="V35" i="17" s="1"/>
  <c r="W35" i="17" s="1"/>
  <c r="Y35" i="17" s="1"/>
  <c r="Z35" i="17" s="1"/>
  <c r="G15" i="17"/>
  <c r="H15" i="17" s="1"/>
  <c r="J15" i="17" s="1"/>
  <c r="K15" i="17" s="1"/>
  <c r="M15" i="17" s="1"/>
  <c r="N15" i="17" s="1"/>
  <c r="P15" i="17" s="1"/>
  <c r="Q15" i="17" s="1"/>
  <c r="S15" i="17" s="1"/>
  <c r="T15" i="17" s="1"/>
  <c r="V15" i="17" s="1"/>
  <c r="W15" i="17" s="1"/>
  <c r="Y15" i="17" s="1"/>
  <c r="Z15" i="17" s="1"/>
  <c r="G40" i="17"/>
  <c r="H40" i="17" s="1"/>
  <c r="J40" i="17" s="1"/>
  <c r="K40" i="17" s="1"/>
  <c r="M40" i="17" s="1"/>
  <c r="N40" i="17" s="1"/>
  <c r="P40" i="17" s="1"/>
  <c r="Q40" i="17" s="1"/>
  <c r="S40" i="17" s="1"/>
  <c r="T40" i="17" s="1"/>
  <c r="V40" i="17" s="1"/>
  <c r="W40" i="17" s="1"/>
  <c r="Y40" i="17" s="1"/>
  <c r="Z40" i="17" s="1"/>
  <c r="G39" i="17"/>
  <c r="H39" i="17" s="1"/>
  <c r="J39" i="17" s="1"/>
  <c r="K39" i="17" s="1"/>
  <c r="M39" i="17" s="1"/>
  <c r="N39" i="17" s="1"/>
  <c r="P39" i="17" s="1"/>
  <c r="Q39" i="17" s="1"/>
  <c r="S39" i="17" s="1"/>
  <c r="T39" i="17" s="1"/>
  <c r="V39" i="17" s="1"/>
  <c r="W39" i="17" s="1"/>
  <c r="Y39" i="17" s="1"/>
  <c r="Z39" i="17" s="1"/>
  <c r="G46" i="17"/>
  <c r="H46" i="17" s="1"/>
  <c r="J46" i="17" s="1"/>
  <c r="K46" i="17" s="1"/>
  <c r="M46" i="17" s="1"/>
  <c r="N46" i="17" s="1"/>
  <c r="P46" i="17" s="1"/>
  <c r="Q46" i="17" s="1"/>
  <c r="S46" i="17" s="1"/>
  <c r="T46" i="17" s="1"/>
  <c r="V46" i="17" s="1"/>
  <c r="W46" i="17" s="1"/>
  <c r="Y46" i="17" s="1"/>
  <c r="Z46" i="17" s="1"/>
  <c r="G66" i="17"/>
  <c r="H66" i="17" s="1"/>
  <c r="J66" i="17" s="1"/>
  <c r="K66" i="17" s="1"/>
  <c r="M66" i="17" s="1"/>
  <c r="N66" i="17" s="1"/>
  <c r="P66" i="17" s="1"/>
  <c r="Q66" i="17" s="1"/>
  <c r="S66" i="17" s="1"/>
  <c r="T66" i="17" s="1"/>
  <c r="V66" i="17" s="1"/>
  <c r="W66" i="17" s="1"/>
  <c r="Y66" i="17" s="1"/>
  <c r="Z66" i="17" s="1"/>
  <c r="G65" i="17"/>
  <c r="H65" i="17" s="1"/>
  <c r="J65" i="17" s="1"/>
  <c r="K65" i="17" s="1"/>
  <c r="M65" i="17" s="1"/>
  <c r="N65" i="17" s="1"/>
  <c r="P65" i="17" s="1"/>
  <c r="Q65" i="17" s="1"/>
  <c r="S65" i="17" s="1"/>
  <c r="T65" i="17" s="1"/>
  <c r="V65" i="17" s="1"/>
  <c r="W65" i="17" s="1"/>
  <c r="Y65" i="17" s="1"/>
  <c r="Z65" i="17" s="1"/>
  <c r="G67" i="17"/>
  <c r="G68" i="17"/>
  <c r="H68" i="17" s="1"/>
  <c r="J68" i="17" s="1"/>
  <c r="K68" i="17" s="1"/>
  <c r="M68" i="17" s="1"/>
  <c r="N68" i="17" s="1"/>
  <c r="P68" i="17" s="1"/>
  <c r="Q68" i="17" s="1"/>
  <c r="S68" i="17" s="1"/>
  <c r="T68" i="17" s="1"/>
  <c r="V68" i="17" s="1"/>
  <c r="W68" i="17" s="1"/>
  <c r="Y68" i="17" s="1"/>
  <c r="Z68" i="17" s="1"/>
  <c r="G69" i="17"/>
  <c r="H69" i="17" s="1"/>
  <c r="J69" i="17" s="1"/>
  <c r="K69" i="17" s="1"/>
  <c r="M69" i="17" s="1"/>
  <c r="N69" i="17" s="1"/>
  <c r="P69" i="17" s="1"/>
  <c r="Q69" i="17" s="1"/>
  <c r="S69" i="17" s="1"/>
  <c r="T69" i="17" s="1"/>
  <c r="V69" i="17" s="1"/>
  <c r="W69" i="17" s="1"/>
  <c r="Y69" i="17" s="1"/>
  <c r="Z69" i="17" s="1"/>
  <c r="G50" i="17"/>
  <c r="H50" i="17" s="1"/>
  <c r="J50" i="17" s="1"/>
  <c r="K50" i="17" s="1"/>
  <c r="M50" i="17" s="1"/>
  <c r="N50" i="17" s="1"/>
  <c r="P50" i="17" s="1"/>
  <c r="Q50" i="17" s="1"/>
  <c r="S50" i="17" s="1"/>
  <c r="T50" i="17" s="1"/>
  <c r="V50" i="17" s="1"/>
  <c r="W50" i="17" s="1"/>
  <c r="Y50" i="17" s="1"/>
  <c r="Z50" i="17" s="1"/>
  <c r="G36" i="17"/>
  <c r="H36" i="17" s="1"/>
  <c r="J36" i="17" s="1"/>
  <c r="G37" i="17"/>
  <c r="H37" i="17" s="1"/>
  <c r="J37" i="17" s="1"/>
  <c r="G79" i="17"/>
  <c r="H79" i="17" s="1"/>
  <c r="J79" i="17" s="1"/>
  <c r="K79" i="17" s="1"/>
  <c r="M79" i="17" s="1"/>
  <c r="N79" i="17" s="1"/>
  <c r="P79" i="17" s="1"/>
  <c r="Q79" i="17" s="1"/>
  <c r="S79" i="17" s="1"/>
  <c r="T79" i="17" s="1"/>
  <c r="V79" i="17" s="1"/>
  <c r="W79" i="17" s="1"/>
  <c r="Y79" i="17" s="1"/>
  <c r="Z79" i="17" s="1"/>
  <c r="G78" i="17"/>
  <c r="H78" i="17" s="1"/>
  <c r="J78" i="17" s="1"/>
  <c r="K78" i="17" s="1"/>
  <c r="M78" i="17" s="1"/>
  <c r="N78" i="17" s="1"/>
  <c r="P78" i="17" s="1"/>
  <c r="Q78" i="17" s="1"/>
  <c r="S78" i="17" s="1"/>
  <c r="T78" i="17" s="1"/>
  <c r="V78" i="17" s="1"/>
  <c r="W78" i="17" s="1"/>
  <c r="Y78" i="17" s="1"/>
  <c r="Z78" i="17" s="1"/>
  <c r="G56" i="17"/>
  <c r="H56" i="17" s="1"/>
  <c r="J56" i="17" s="1"/>
  <c r="K56" i="17" s="1"/>
  <c r="M56" i="17" s="1"/>
  <c r="N56" i="17" s="1"/>
  <c r="P56" i="17" s="1"/>
  <c r="Q56" i="17" s="1"/>
  <c r="S56" i="17" s="1"/>
  <c r="T56" i="17" s="1"/>
  <c r="V56" i="17" s="1"/>
  <c r="W56" i="17" s="1"/>
  <c r="Y56" i="17" s="1"/>
  <c r="Z56" i="17" s="1"/>
  <c r="G20" i="17"/>
  <c r="H20" i="17" s="1"/>
  <c r="J20" i="17" s="1"/>
  <c r="K20" i="17" s="1"/>
  <c r="M20" i="17" s="1"/>
  <c r="N20" i="17" s="1"/>
  <c r="P20" i="17" s="1"/>
  <c r="Q20" i="17" s="1"/>
  <c r="S20" i="17" s="1"/>
  <c r="T20" i="17" s="1"/>
  <c r="V20" i="17" s="1"/>
  <c r="W20" i="17" s="1"/>
  <c r="Y20" i="17" s="1"/>
  <c r="Z20" i="17" s="1"/>
  <c r="G61" i="17"/>
  <c r="H61" i="17" s="1"/>
  <c r="J61" i="17" s="1"/>
  <c r="K61" i="17" s="1"/>
  <c r="M61" i="17" s="1"/>
  <c r="N61" i="17" s="1"/>
  <c r="P61" i="17" s="1"/>
  <c r="Q61" i="17" s="1"/>
  <c r="S61" i="17" s="1"/>
  <c r="T61" i="17" s="1"/>
  <c r="V61" i="17" s="1"/>
  <c r="W61" i="17" s="1"/>
  <c r="Y61" i="17" s="1"/>
  <c r="Z61" i="17" s="1"/>
  <c r="G13" i="17"/>
  <c r="H13" i="17" s="1"/>
  <c r="J13" i="17" s="1"/>
  <c r="K13" i="17" s="1"/>
  <c r="M13" i="17" s="1"/>
  <c r="N13" i="17" s="1"/>
  <c r="P13" i="17" s="1"/>
  <c r="Q13" i="17" s="1"/>
  <c r="S13" i="17" s="1"/>
  <c r="T13" i="17" s="1"/>
  <c r="V13" i="17" s="1"/>
  <c r="W13" i="17" s="1"/>
  <c r="Y13" i="17" s="1"/>
  <c r="Z13" i="17" s="1"/>
  <c r="G57" i="17"/>
  <c r="H57" i="17" s="1"/>
  <c r="J57" i="17" s="1"/>
  <c r="K57" i="17" s="1"/>
  <c r="M57" i="17" s="1"/>
  <c r="N57" i="17" s="1"/>
  <c r="P57" i="17" s="1"/>
  <c r="Q57" i="17" s="1"/>
  <c r="S57" i="17" s="1"/>
  <c r="T57" i="17" s="1"/>
  <c r="V57" i="17" s="1"/>
  <c r="W57" i="17" s="1"/>
  <c r="Y57" i="17" s="1"/>
  <c r="Z57" i="17" s="1"/>
  <c r="G58" i="17"/>
  <c r="H58" i="17" s="1"/>
  <c r="J58" i="17" s="1"/>
  <c r="K58" i="17" s="1"/>
  <c r="M58" i="17" s="1"/>
  <c r="N58" i="17" s="1"/>
  <c r="P58" i="17" s="1"/>
  <c r="Q58" i="17" s="1"/>
  <c r="S58" i="17" s="1"/>
  <c r="T58" i="17" s="1"/>
  <c r="V58" i="17" s="1"/>
  <c r="W58" i="17" s="1"/>
  <c r="Y58" i="17" s="1"/>
  <c r="Z58" i="17" s="1"/>
  <c r="G55" i="17"/>
  <c r="H55" i="17" s="1"/>
  <c r="J55" i="17" s="1"/>
  <c r="K55" i="17" s="1"/>
  <c r="M55" i="17" s="1"/>
  <c r="N55" i="17" s="1"/>
  <c r="P55" i="17" s="1"/>
  <c r="Q55" i="17" s="1"/>
  <c r="S55" i="17" s="1"/>
  <c r="T55" i="17" s="1"/>
  <c r="V55" i="17" s="1"/>
  <c r="W55" i="17" s="1"/>
  <c r="Y55" i="17" s="1"/>
  <c r="Z55" i="17" s="1"/>
  <c r="G54" i="17"/>
  <c r="H54" i="17" s="1"/>
  <c r="J54" i="17" s="1"/>
  <c r="K54" i="17" s="1"/>
  <c r="M54" i="17" s="1"/>
  <c r="N54" i="17" s="1"/>
  <c r="P54" i="17" s="1"/>
  <c r="Q54" i="17" s="1"/>
  <c r="S54" i="17" s="1"/>
  <c r="T54" i="17" s="1"/>
  <c r="V54" i="17" s="1"/>
  <c r="W54" i="17" s="1"/>
  <c r="Y54" i="17" s="1"/>
  <c r="Z54" i="17" s="1"/>
  <c r="G59" i="17"/>
  <c r="H59" i="17" s="1"/>
  <c r="J59" i="17" s="1"/>
  <c r="K59" i="17" s="1"/>
  <c r="M59" i="17" s="1"/>
  <c r="N59" i="17" s="1"/>
  <c r="P59" i="17" s="1"/>
  <c r="Q59" i="17" s="1"/>
  <c r="S59" i="17" s="1"/>
  <c r="T59" i="17" s="1"/>
  <c r="V59" i="17" s="1"/>
  <c r="W59" i="17" s="1"/>
  <c r="Y59" i="17" s="1"/>
  <c r="Z59" i="17" s="1"/>
  <c r="G62" i="17"/>
  <c r="H62" i="17" s="1"/>
  <c r="J62" i="17" s="1"/>
  <c r="K62" i="17" s="1"/>
  <c r="M62" i="17" s="1"/>
  <c r="N62" i="17" s="1"/>
  <c r="P62" i="17" s="1"/>
  <c r="Q62" i="17" s="1"/>
  <c r="S62" i="17" s="1"/>
  <c r="T62" i="17" s="1"/>
  <c r="V62" i="17" s="1"/>
  <c r="W62" i="17" s="1"/>
  <c r="Y62" i="17" s="1"/>
  <c r="Z62" i="17" s="1"/>
  <c r="G33" i="17"/>
  <c r="H33" i="17" s="1"/>
  <c r="J33" i="17" s="1"/>
  <c r="K33" i="17" s="1"/>
  <c r="M33" i="17" s="1"/>
  <c r="N33" i="17" s="1"/>
  <c r="P33" i="17" s="1"/>
  <c r="Q33" i="17" s="1"/>
  <c r="S33" i="17" s="1"/>
  <c r="T33" i="17" s="1"/>
  <c r="V33" i="17" s="1"/>
  <c r="W33" i="17" s="1"/>
  <c r="Y33" i="17" s="1"/>
  <c r="Z33" i="17" s="1"/>
  <c r="G34" i="17"/>
  <c r="H34" i="17" s="1"/>
  <c r="G45" i="17"/>
  <c r="H45" i="17" s="1"/>
  <c r="J45" i="17" s="1"/>
  <c r="K45" i="17" s="1"/>
  <c r="M45" i="17" s="1"/>
  <c r="N45" i="17" s="1"/>
  <c r="P45" i="17" s="1"/>
  <c r="Q45" i="17" s="1"/>
  <c r="S45" i="17" s="1"/>
  <c r="T45" i="17" s="1"/>
  <c r="V45" i="17" s="1"/>
  <c r="W45" i="17" s="1"/>
  <c r="Y45" i="17" s="1"/>
  <c r="Z45" i="17" s="1"/>
  <c r="G92" i="17"/>
  <c r="H92" i="17" s="1"/>
  <c r="J92" i="17" s="1"/>
  <c r="K92" i="17" s="1"/>
  <c r="M92" i="17" s="1"/>
  <c r="N92" i="17" s="1"/>
  <c r="P92" i="17" s="1"/>
  <c r="Q92" i="17" s="1"/>
  <c r="S92" i="17" s="1"/>
  <c r="T92" i="17" s="1"/>
  <c r="V92" i="17" s="1"/>
  <c r="W92" i="17" s="1"/>
  <c r="Y92" i="17" s="1"/>
  <c r="Z92" i="17" s="1"/>
  <c r="G90" i="17"/>
  <c r="H90" i="17" s="1"/>
  <c r="J90" i="17" s="1"/>
  <c r="K90" i="17" s="1"/>
  <c r="M90" i="17" s="1"/>
  <c r="N90" i="17" s="1"/>
  <c r="P90" i="17" s="1"/>
  <c r="Q90" i="17" s="1"/>
  <c r="S90" i="17" s="1"/>
  <c r="T90" i="17" s="1"/>
  <c r="V90" i="17" s="1"/>
  <c r="W90" i="17" s="1"/>
  <c r="Y90" i="17" s="1"/>
  <c r="Z90" i="17" s="1"/>
  <c r="G87" i="17"/>
  <c r="H87" i="17" s="1"/>
  <c r="J87" i="17" s="1"/>
  <c r="K87" i="17" s="1"/>
  <c r="M87" i="17" s="1"/>
  <c r="N87" i="17" s="1"/>
  <c r="P87" i="17" s="1"/>
  <c r="Q87" i="17" s="1"/>
  <c r="S87" i="17" s="1"/>
  <c r="T87" i="17" s="1"/>
  <c r="V87" i="17" s="1"/>
  <c r="W87" i="17" s="1"/>
  <c r="Y87" i="17" s="1"/>
  <c r="Z87" i="17" s="1"/>
  <c r="G93" i="17"/>
  <c r="H93" i="17" s="1"/>
  <c r="J93" i="17" s="1"/>
  <c r="K93" i="17" s="1"/>
  <c r="M93" i="17" s="1"/>
  <c r="N93" i="17" s="1"/>
  <c r="P93" i="17" s="1"/>
  <c r="Q93" i="17" s="1"/>
  <c r="S93" i="17" s="1"/>
  <c r="T93" i="17" s="1"/>
  <c r="V93" i="17" s="1"/>
  <c r="W93" i="17" s="1"/>
  <c r="Y93" i="17" s="1"/>
  <c r="Z93" i="17" s="1"/>
  <c r="G88" i="17"/>
  <c r="H88" i="17" s="1"/>
  <c r="J88" i="17" s="1"/>
  <c r="K88" i="17" s="1"/>
  <c r="M88" i="17" s="1"/>
  <c r="N88" i="17" s="1"/>
  <c r="P88" i="17" s="1"/>
  <c r="Q88" i="17" s="1"/>
  <c r="S88" i="17" s="1"/>
  <c r="T88" i="17" s="1"/>
  <c r="V88" i="17" s="1"/>
  <c r="W88" i="17" s="1"/>
  <c r="Y88" i="17" s="1"/>
  <c r="Z88" i="17" s="1"/>
  <c r="G89" i="17"/>
  <c r="H89" i="17" s="1"/>
  <c r="J89" i="17" s="1"/>
  <c r="K89" i="17" s="1"/>
  <c r="M89" i="17" s="1"/>
  <c r="N89" i="17" s="1"/>
  <c r="P89" i="17" s="1"/>
  <c r="Q89" i="17" s="1"/>
  <c r="S89" i="17" s="1"/>
  <c r="T89" i="17" s="1"/>
  <c r="V89" i="17" s="1"/>
  <c r="W89" i="17" s="1"/>
  <c r="Y89" i="17" s="1"/>
  <c r="Z89" i="17" s="1"/>
  <c r="G32" i="17"/>
  <c r="H32" i="17" s="1"/>
  <c r="J32" i="17" s="1"/>
  <c r="K32" i="17" s="1"/>
  <c r="M32" i="17" s="1"/>
  <c r="N32" i="17" s="1"/>
  <c r="P32" i="17" s="1"/>
  <c r="Q32" i="17" s="1"/>
  <c r="S32" i="17" s="1"/>
  <c r="T32" i="17" s="1"/>
  <c r="V32" i="17" s="1"/>
  <c r="W32" i="17" s="1"/>
  <c r="Y32" i="17" s="1"/>
  <c r="Z32" i="17" s="1"/>
  <c r="G85" i="17"/>
  <c r="H85" i="17" s="1"/>
  <c r="J85" i="17" s="1"/>
  <c r="K85" i="17" s="1"/>
  <c r="M85" i="17" s="1"/>
  <c r="N85" i="17" s="1"/>
  <c r="P85" i="17" s="1"/>
  <c r="Q85" i="17" s="1"/>
  <c r="S85" i="17" s="1"/>
  <c r="T85" i="17" s="1"/>
  <c r="V85" i="17" s="1"/>
  <c r="W85" i="17" s="1"/>
  <c r="Y85" i="17" s="1"/>
  <c r="Z85" i="17" s="1"/>
  <c r="G94" i="17"/>
  <c r="H94" i="17" s="1"/>
  <c r="G86" i="17"/>
  <c r="H86" i="17" s="1"/>
  <c r="G64" i="17"/>
  <c r="H64" i="17" s="1"/>
  <c r="J64" i="17" s="1"/>
  <c r="K64" i="17" s="1"/>
  <c r="M64" i="17" s="1"/>
  <c r="N64" i="17" s="1"/>
  <c r="P64" i="17" s="1"/>
  <c r="Q64" i="17" s="1"/>
  <c r="S64" i="17" s="1"/>
  <c r="T64" i="17" s="1"/>
  <c r="V64" i="17" s="1"/>
  <c r="W64" i="17" s="1"/>
  <c r="Y64" i="17" s="1"/>
  <c r="Z64" i="17" s="1"/>
  <c r="G49" i="17"/>
  <c r="H49" i="17" s="1"/>
  <c r="J49" i="17" s="1"/>
  <c r="K49" i="17" s="1"/>
  <c r="M49" i="17" s="1"/>
  <c r="N49" i="17" s="1"/>
  <c r="P49" i="17" s="1"/>
  <c r="Q49" i="17" s="1"/>
  <c r="S49" i="17" s="1"/>
  <c r="T49" i="17" s="1"/>
  <c r="V49" i="17" s="1"/>
  <c r="W49" i="17" s="1"/>
  <c r="Y49" i="17" s="1"/>
  <c r="Z49" i="17" s="1"/>
  <c r="G63" i="17"/>
  <c r="H63" i="17" s="1"/>
  <c r="J63" i="17" s="1"/>
  <c r="K63" i="17" s="1"/>
  <c r="M63" i="17" s="1"/>
  <c r="N63" i="17" s="1"/>
  <c r="P63" i="17" s="1"/>
  <c r="Q63" i="17" s="1"/>
  <c r="S63" i="17" s="1"/>
  <c r="T63" i="17" s="1"/>
  <c r="V63" i="17" s="1"/>
  <c r="W63" i="17" s="1"/>
  <c r="Y63" i="17" s="1"/>
  <c r="Z63" i="17" s="1"/>
  <c r="G30" i="17"/>
  <c r="H30" i="17" s="1"/>
  <c r="J30" i="17" s="1"/>
  <c r="K30" i="17" s="1"/>
  <c r="M30" i="17" s="1"/>
  <c r="N30" i="17" s="1"/>
  <c r="P30" i="17" s="1"/>
  <c r="Q30" i="17" s="1"/>
  <c r="S30" i="17" s="1"/>
  <c r="T30" i="17" s="1"/>
  <c r="V30" i="17" s="1"/>
  <c r="W30" i="17" s="1"/>
  <c r="Y30" i="17" s="1"/>
  <c r="Z30" i="17" s="1"/>
  <c r="G99" i="17"/>
  <c r="H99" i="17" s="1"/>
  <c r="J99" i="17" s="1"/>
  <c r="K99" i="17" s="1"/>
  <c r="M99" i="17" s="1"/>
  <c r="N99" i="17" s="1"/>
  <c r="P99" i="17" s="1"/>
  <c r="Q99" i="17" s="1"/>
  <c r="S99" i="17" s="1"/>
  <c r="T99" i="17" s="1"/>
  <c r="V99" i="17" s="1"/>
  <c r="W99" i="17" s="1"/>
  <c r="Y99" i="17" s="1"/>
  <c r="Z99" i="17" s="1"/>
  <c r="G97" i="17"/>
  <c r="H97" i="17" s="1"/>
  <c r="J97" i="17" s="1"/>
  <c r="K97" i="17" s="1"/>
  <c r="M97" i="17" s="1"/>
  <c r="N97" i="17" s="1"/>
  <c r="P97" i="17" s="1"/>
  <c r="Q97" i="17" s="1"/>
  <c r="S97" i="17" s="1"/>
  <c r="T97" i="17" s="1"/>
  <c r="V97" i="17" s="1"/>
  <c r="W97" i="17" s="1"/>
  <c r="Y97" i="17" s="1"/>
  <c r="Z97" i="17" s="1"/>
  <c r="G98" i="17"/>
  <c r="H98" i="17" s="1"/>
  <c r="J98" i="17" s="1"/>
  <c r="K98" i="17" s="1"/>
  <c r="M98" i="17" s="1"/>
  <c r="N98" i="17" s="1"/>
  <c r="P98" i="17" s="1"/>
  <c r="Q98" i="17" s="1"/>
  <c r="S98" i="17" s="1"/>
  <c r="T98" i="17" s="1"/>
  <c r="V98" i="17" s="1"/>
  <c r="W98" i="17" s="1"/>
  <c r="Y98" i="17" s="1"/>
  <c r="Z98" i="17" s="1"/>
  <c r="G95" i="17"/>
  <c r="H95" i="17" s="1"/>
  <c r="J95" i="17" s="1"/>
  <c r="K95" i="17" s="1"/>
  <c r="M95" i="17" s="1"/>
  <c r="N95" i="17" s="1"/>
  <c r="P95" i="17" s="1"/>
  <c r="Q95" i="17" s="1"/>
  <c r="S95" i="17" s="1"/>
  <c r="T95" i="17" s="1"/>
  <c r="V95" i="17" s="1"/>
  <c r="W95" i="17" s="1"/>
  <c r="Y95" i="17" s="1"/>
  <c r="Z95" i="17" s="1"/>
  <c r="G96" i="17"/>
  <c r="H96" i="17" s="1"/>
  <c r="J96" i="17" s="1"/>
  <c r="K96" i="17" s="1"/>
  <c r="M96" i="17" s="1"/>
  <c r="N96" i="17" s="1"/>
  <c r="P96" i="17" s="1"/>
  <c r="Q96" i="17" s="1"/>
  <c r="S96" i="17" s="1"/>
  <c r="T96" i="17" s="1"/>
  <c r="V96" i="17" s="1"/>
  <c r="W96" i="17" s="1"/>
  <c r="Y96" i="17" s="1"/>
  <c r="Z96" i="17" s="1"/>
  <c r="G102" i="17"/>
  <c r="H102" i="17" s="1"/>
  <c r="J102" i="17" s="1"/>
  <c r="K102" i="17" s="1"/>
  <c r="M102" i="17" s="1"/>
  <c r="N102" i="17" s="1"/>
  <c r="P102" i="17" s="1"/>
  <c r="Q102" i="17" s="1"/>
  <c r="S102" i="17" s="1"/>
  <c r="T102" i="17" s="1"/>
  <c r="V102" i="17" s="1"/>
  <c r="W102" i="17" s="1"/>
  <c r="Y102" i="17" s="1"/>
  <c r="Z102" i="17" s="1"/>
  <c r="G10" i="17"/>
  <c r="H10" i="17" s="1"/>
  <c r="J10" i="17" s="1"/>
  <c r="K10" i="17" s="1"/>
  <c r="M10" i="17" s="1"/>
  <c r="N10" i="17" s="1"/>
  <c r="P10" i="17" s="1"/>
  <c r="Q10" i="17" s="1"/>
  <c r="S10" i="17" s="1"/>
  <c r="T10" i="17" s="1"/>
  <c r="V10" i="17" s="1"/>
  <c r="W10" i="17" s="1"/>
  <c r="Y10" i="17" s="1"/>
  <c r="Z10" i="17" s="1"/>
  <c r="G4" i="17"/>
  <c r="H4" i="17" s="1"/>
  <c r="J4" i="17" s="1"/>
  <c r="K4" i="17" s="1"/>
  <c r="M4" i="17" s="1"/>
  <c r="N4" i="17" s="1"/>
  <c r="P4" i="17" s="1"/>
  <c r="Q4" i="17" s="1"/>
  <c r="S4" i="17" s="1"/>
  <c r="T4" i="17" s="1"/>
  <c r="V4" i="17" s="1"/>
  <c r="W4" i="17" s="1"/>
  <c r="Y4" i="17" s="1"/>
  <c r="Z4" i="17" s="1"/>
  <c r="G6" i="17"/>
  <c r="H6" i="17" s="1"/>
  <c r="J6" i="17" s="1"/>
  <c r="K6" i="17" s="1"/>
  <c r="M6" i="17" s="1"/>
  <c r="N6" i="17" s="1"/>
  <c r="P6" i="17" s="1"/>
  <c r="Q6" i="17" s="1"/>
  <c r="S6" i="17" s="1"/>
  <c r="T6" i="17" s="1"/>
  <c r="V6" i="17" s="1"/>
  <c r="W6" i="17" s="1"/>
  <c r="Y6" i="17" s="1"/>
  <c r="Z6" i="17" s="1"/>
  <c r="G3" i="17"/>
  <c r="H3" i="17" s="1"/>
  <c r="J3" i="17" s="1"/>
  <c r="K3" i="17" s="1"/>
  <c r="M3" i="17" s="1"/>
  <c r="N3" i="17" s="1"/>
  <c r="P3" i="17" s="1"/>
  <c r="Q3" i="17" s="1"/>
  <c r="S3" i="17" s="1"/>
  <c r="T3" i="17" s="1"/>
  <c r="V3" i="17" s="1"/>
  <c r="W3" i="17" s="1"/>
  <c r="Y3" i="17" s="1"/>
  <c r="Z3" i="17" s="1"/>
  <c r="G7" i="17"/>
  <c r="H7" i="17" s="1"/>
  <c r="J7" i="17" s="1"/>
  <c r="K7" i="17" s="1"/>
  <c r="M7" i="17" s="1"/>
  <c r="N7" i="17" s="1"/>
  <c r="P7" i="17" s="1"/>
  <c r="Q7" i="17" s="1"/>
  <c r="S7" i="17" s="1"/>
  <c r="T7" i="17" s="1"/>
  <c r="V7" i="17" s="1"/>
  <c r="W7" i="17" s="1"/>
  <c r="Y7" i="17" s="1"/>
  <c r="Z7" i="17" s="1"/>
  <c r="G100" i="17"/>
  <c r="H100" i="17" s="1"/>
  <c r="J100" i="17" s="1"/>
  <c r="K100" i="17" s="1"/>
  <c r="M100" i="17" s="1"/>
  <c r="N100" i="17" s="1"/>
  <c r="P100" i="17" s="1"/>
  <c r="Q100" i="17" s="1"/>
  <c r="S100" i="17" s="1"/>
  <c r="T100" i="17" s="1"/>
  <c r="V100" i="17" s="1"/>
  <c r="W100" i="17" s="1"/>
  <c r="Y100" i="17" s="1"/>
  <c r="Z100" i="17" s="1"/>
  <c r="G8" i="17"/>
  <c r="H8" i="17" s="1"/>
  <c r="J8" i="17" s="1"/>
  <c r="K8" i="17" s="1"/>
  <c r="M8" i="17" s="1"/>
  <c r="N8" i="17" s="1"/>
  <c r="P8" i="17" s="1"/>
  <c r="Q8" i="17" s="1"/>
  <c r="S8" i="17" s="1"/>
  <c r="T8" i="17" s="1"/>
  <c r="V8" i="17" s="1"/>
  <c r="W8" i="17" s="1"/>
  <c r="Y8" i="17" s="1"/>
  <c r="Z8" i="17" s="1"/>
  <c r="G5" i="17"/>
  <c r="H5" i="17" s="1"/>
  <c r="J5" i="17" s="1"/>
  <c r="K5" i="17" s="1"/>
  <c r="M5" i="17" s="1"/>
  <c r="N5" i="17" s="1"/>
  <c r="P5" i="17" s="1"/>
  <c r="Q5" i="17" s="1"/>
  <c r="S5" i="17" s="1"/>
  <c r="T5" i="17" s="1"/>
  <c r="V5" i="17" s="1"/>
  <c r="W5" i="17" s="1"/>
  <c r="Y5" i="17" s="1"/>
  <c r="Z5" i="17" s="1"/>
  <c r="G9" i="17"/>
  <c r="H9" i="17" s="1"/>
  <c r="J9" i="17" s="1"/>
  <c r="K9" i="17" s="1"/>
  <c r="M9" i="17" s="1"/>
  <c r="N9" i="17" s="1"/>
  <c r="P9" i="17" s="1"/>
  <c r="Q9" i="17" s="1"/>
  <c r="S9" i="17" s="1"/>
  <c r="T9" i="17" s="1"/>
  <c r="V9" i="17" s="1"/>
  <c r="W9" i="17" s="1"/>
  <c r="Y9" i="17" s="1"/>
  <c r="Z9" i="17" s="1"/>
  <c r="G48" i="17"/>
  <c r="H48" i="17" s="1"/>
  <c r="J48" i="17" s="1"/>
  <c r="K48" i="17" s="1"/>
  <c r="M48" i="17" s="1"/>
  <c r="N48" i="17" s="1"/>
  <c r="P48" i="17" s="1"/>
  <c r="Q48" i="17" s="1"/>
  <c r="S48" i="17" s="1"/>
  <c r="T48" i="17" s="1"/>
  <c r="V48" i="17" s="1"/>
  <c r="W48" i="17" s="1"/>
  <c r="Y48" i="17" s="1"/>
  <c r="Z48" i="17" s="1"/>
  <c r="G84" i="17"/>
  <c r="H84" i="17" s="1"/>
  <c r="J84" i="17" s="1"/>
  <c r="K84" i="17" s="1"/>
  <c r="M84" i="17" s="1"/>
  <c r="N84" i="17" s="1"/>
  <c r="P84" i="17" s="1"/>
  <c r="Q84" i="17" s="1"/>
  <c r="S84" i="17" s="1"/>
  <c r="T84" i="17" s="1"/>
  <c r="V84" i="17" s="1"/>
  <c r="W84" i="17" s="1"/>
  <c r="Y84" i="17" s="1"/>
  <c r="Z84" i="17" s="1"/>
  <c r="G38" i="17"/>
  <c r="H38" i="17" s="1"/>
  <c r="J38" i="17" s="1"/>
  <c r="G60" i="17"/>
  <c r="H60" i="17" s="1"/>
  <c r="J60" i="17" s="1"/>
  <c r="G22" i="17"/>
  <c r="H22" i="17" s="1"/>
  <c r="J22" i="17" s="1"/>
  <c r="G47" i="17"/>
  <c r="H47" i="17" s="1"/>
  <c r="J47" i="17" s="1"/>
  <c r="K47" i="17" s="1"/>
  <c r="M47" i="17" s="1"/>
  <c r="N47" i="17" s="1"/>
  <c r="P47" i="17" s="1"/>
  <c r="Q47" i="17" s="1"/>
  <c r="S47" i="17" s="1"/>
  <c r="T47" i="17" s="1"/>
  <c r="V47" i="17" s="1"/>
  <c r="W47" i="17" s="1"/>
  <c r="Y47" i="17" s="1"/>
  <c r="Z47" i="17" s="1"/>
  <c r="G23" i="17"/>
  <c r="H23" i="17" s="1"/>
  <c r="J23" i="17" s="1"/>
  <c r="K23" i="17" s="1"/>
  <c r="M23" i="17" s="1"/>
  <c r="N23" i="17" s="1"/>
  <c r="P23" i="17" s="1"/>
  <c r="Q23" i="17" s="1"/>
  <c r="S23" i="17" s="1"/>
  <c r="T23" i="17" s="1"/>
  <c r="V23" i="17" s="1"/>
  <c r="W23" i="17" s="1"/>
  <c r="Y23" i="17" s="1"/>
  <c r="Z23" i="17" s="1"/>
  <c r="G74" i="17"/>
  <c r="H74" i="17" s="1"/>
  <c r="J74" i="17" s="1"/>
  <c r="K74" i="17" s="1"/>
  <c r="M74" i="17" s="1"/>
  <c r="N74" i="17" s="1"/>
  <c r="P74" i="17" s="1"/>
  <c r="Q74" i="17" s="1"/>
  <c r="S74" i="17" s="1"/>
  <c r="T74" i="17" s="1"/>
  <c r="V74" i="17" s="1"/>
  <c r="W74" i="17" s="1"/>
  <c r="Y74" i="17" s="1"/>
  <c r="Z74" i="17" s="1"/>
  <c r="G25" i="17"/>
  <c r="H25" i="17" s="1"/>
  <c r="J25" i="17" s="1"/>
  <c r="K25" i="17" s="1"/>
  <c r="M25" i="17" s="1"/>
  <c r="N25" i="17" s="1"/>
  <c r="P25" i="17" s="1"/>
  <c r="Q25" i="17" s="1"/>
  <c r="S25" i="17" s="1"/>
  <c r="T25" i="17" s="1"/>
  <c r="V25" i="17" s="1"/>
  <c r="W25" i="17" s="1"/>
  <c r="Y25" i="17" s="1"/>
  <c r="Z25" i="17" s="1"/>
  <c r="G19" i="17"/>
  <c r="H19" i="17" s="1"/>
  <c r="J19" i="17" s="1"/>
  <c r="K19" i="17" s="1"/>
  <c r="M19" i="17" s="1"/>
  <c r="N19" i="17" s="1"/>
  <c r="P19" i="17" s="1"/>
  <c r="Q19" i="17" s="1"/>
  <c r="S19" i="17" s="1"/>
  <c r="T19" i="17" s="1"/>
  <c r="V19" i="17" s="1"/>
  <c r="W19" i="17" s="1"/>
  <c r="Y19" i="17" s="1"/>
  <c r="Z19" i="17" s="1"/>
  <c r="G18" i="17"/>
  <c r="H18" i="17" s="1"/>
  <c r="J18" i="17" s="1"/>
  <c r="K18" i="17" s="1"/>
  <c r="M18" i="17" s="1"/>
  <c r="N18" i="17" s="1"/>
  <c r="P18" i="17" s="1"/>
  <c r="Q18" i="17" s="1"/>
  <c r="S18" i="17" s="1"/>
  <c r="T18" i="17" s="1"/>
  <c r="V18" i="17" s="1"/>
  <c r="W18" i="17" s="1"/>
  <c r="Y18" i="17" s="1"/>
  <c r="Z18" i="17" s="1"/>
  <c r="G14" i="17"/>
  <c r="H14" i="17" s="1"/>
  <c r="J14" i="17" s="1"/>
  <c r="K14" i="17" s="1"/>
  <c r="M14" i="17" s="1"/>
  <c r="N14" i="17" s="1"/>
  <c r="P14" i="17" s="1"/>
  <c r="Q14" i="17" s="1"/>
  <c r="S14" i="17" s="1"/>
  <c r="T14" i="17" s="1"/>
  <c r="V14" i="17" s="1"/>
  <c r="W14" i="17" s="1"/>
  <c r="Y14" i="17" s="1"/>
  <c r="Z14" i="17" s="1"/>
  <c r="G11" i="17"/>
  <c r="H11" i="17" s="1"/>
  <c r="J11" i="17" s="1"/>
  <c r="K11" i="17" s="1"/>
  <c r="M11" i="17" s="1"/>
  <c r="N11" i="17" s="1"/>
  <c r="P11" i="17" s="1"/>
  <c r="Q11" i="17" s="1"/>
  <c r="S11" i="17" s="1"/>
  <c r="T11" i="17" s="1"/>
  <c r="V11" i="17" s="1"/>
  <c r="W11" i="17" s="1"/>
  <c r="Y11" i="17" s="1"/>
  <c r="Z11" i="17" s="1"/>
  <c r="G24" i="17"/>
  <c r="H24" i="17" s="1"/>
  <c r="J24" i="17" s="1"/>
  <c r="K24" i="17" s="1"/>
  <c r="M24" i="17" s="1"/>
  <c r="N24" i="17" s="1"/>
  <c r="P24" i="17" s="1"/>
  <c r="Q24" i="17" s="1"/>
  <c r="S24" i="17" s="1"/>
  <c r="T24" i="17" s="1"/>
  <c r="V24" i="17" s="1"/>
  <c r="W24" i="17" s="1"/>
  <c r="Y24" i="17" s="1"/>
  <c r="Z24" i="17" s="1"/>
  <c r="G2" i="17"/>
  <c r="H2" i="17" s="1"/>
  <c r="J2" i="17" s="1"/>
  <c r="K2" i="17" s="1"/>
  <c r="M2" i="17" s="1"/>
  <c r="N2" i="17" s="1"/>
  <c r="P2" i="17" s="1"/>
  <c r="Q2" i="17" s="1"/>
  <c r="S2" i="17" s="1"/>
  <c r="T2" i="17" s="1"/>
  <c r="V2" i="17" s="1"/>
  <c r="W2" i="17" s="1"/>
  <c r="Y2" i="17" s="1"/>
  <c r="Z2" i="17" s="1"/>
  <c r="G91" i="17"/>
  <c r="H91" i="17" s="1"/>
  <c r="J91" i="17" s="1"/>
  <c r="K91" i="17" s="1"/>
  <c r="M91" i="17" s="1"/>
  <c r="N91" i="17" s="1"/>
  <c r="P91" i="17" s="1"/>
  <c r="Q91" i="17" s="1"/>
  <c r="S91" i="17" s="1"/>
  <c r="T91" i="17" s="1"/>
  <c r="V91" i="17" s="1"/>
  <c r="W91" i="17" s="1"/>
  <c r="Y91" i="17" s="1"/>
  <c r="Z91" i="17" s="1"/>
  <c r="G27" i="17"/>
  <c r="H27" i="17" s="1"/>
  <c r="J27" i="17" s="1"/>
  <c r="K27" i="17" s="1"/>
  <c r="M27" i="17" s="1"/>
  <c r="N27" i="17" s="1"/>
  <c r="P27" i="17" s="1"/>
  <c r="Q27" i="17" s="1"/>
  <c r="S27" i="17" s="1"/>
  <c r="T27" i="17" s="1"/>
  <c r="V27" i="17" s="1"/>
  <c r="W27" i="17" s="1"/>
  <c r="Y27" i="17" s="1"/>
  <c r="Z27" i="17" s="1"/>
  <c r="G26" i="17"/>
  <c r="H26" i="17" s="1"/>
  <c r="G104" i="17"/>
  <c r="H104" i="17" s="1"/>
  <c r="J104" i="17" s="1"/>
  <c r="K104" i="17" s="1"/>
  <c r="M104" i="17" s="1"/>
  <c r="N104" i="17" s="1"/>
  <c r="P104" i="17" s="1"/>
  <c r="Q104" i="17" s="1"/>
  <c r="S104" i="17" s="1"/>
  <c r="T104" i="17" s="1"/>
  <c r="V104" i="17" s="1"/>
  <c r="W104" i="17" s="1"/>
  <c r="Y104" i="17" s="1"/>
  <c r="Z104" i="17" s="1"/>
  <c r="G16" i="17"/>
  <c r="H16" i="17" s="1"/>
  <c r="J16" i="17" s="1"/>
  <c r="K16" i="17" s="1"/>
  <c r="M16" i="17" s="1"/>
  <c r="N16" i="17" s="1"/>
  <c r="P16" i="17" s="1"/>
  <c r="Q16" i="17" s="1"/>
  <c r="S16" i="17" s="1"/>
  <c r="T16" i="17" s="1"/>
  <c r="V16" i="17" s="1"/>
  <c r="W16" i="17" s="1"/>
  <c r="Y16" i="17" s="1"/>
  <c r="Z16" i="17" s="1"/>
  <c r="G101" i="17"/>
  <c r="H101" i="17" s="1"/>
  <c r="J101" i="17" s="1"/>
  <c r="G28" i="17"/>
  <c r="H28" i="17" s="1"/>
  <c r="J28" i="17" s="1"/>
  <c r="K28" i="17" s="1"/>
  <c r="M28" i="17" s="1"/>
  <c r="N28" i="17" s="1"/>
  <c r="P28" i="17" s="1"/>
  <c r="Q28" i="17" s="1"/>
  <c r="S28" i="17" s="1"/>
  <c r="T28" i="17" s="1"/>
  <c r="V28" i="17" s="1"/>
  <c r="W28" i="17" s="1"/>
  <c r="Y28" i="17" s="1"/>
  <c r="Z28" i="17" s="1"/>
  <c r="G29" i="17"/>
  <c r="H29" i="17" s="1"/>
  <c r="J29" i="17" s="1"/>
  <c r="K29" i="17" s="1"/>
  <c r="M29" i="17" s="1"/>
  <c r="N29" i="17" s="1"/>
  <c r="P29" i="17" s="1"/>
  <c r="Q29" i="17" s="1"/>
  <c r="S29" i="17" s="1"/>
  <c r="T29" i="17" s="1"/>
  <c r="V29" i="17" s="1"/>
  <c r="W29" i="17" s="1"/>
  <c r="Y29" i="17" s="1"/>
  <c r="Z29" i="17" s="1"/>
  <c r="G103" i="17"/>
  <c r="H103" i="17" s="1"/>
  <c r="J103" i="17" s="1"/>
  <c r="K103" i="17" s="1"/>
  <c r="M103" i="17" s="1"/>
  <c r="N103" i="17" s="1"/>
  <c r="P103" i="17" s="1"/>
  <c r="Q103" i="17" s="1"/>
  <c r="S103" i="17" s="1"/>
  <c r="T103" i="17" s="1"/>
  <c r="V103" i="17" s="1"/>
  <c r="W103" i="17" s="1"/>
  <c r="Y103" i="17" s="1"/>
  <c r="Z103" i="17" s="1"/>
  <c r="G44" i="17"/>
  <c r="H44" i="17" s="1"/>
  <c r="J44" i="17" s="1"/>
  <c r="K44" i="17" s="1"/>
  <c r="M44" i="17" s="1"/>
  <c r="N44" i="17" s="1"/>
  <c r="P44" i="17" s="1"/>
  <c r="Q44" i="17" s="1"/>
  <c r="S44" i="17" s="1"/>
  <c r="T44" i="17" s="1"/>
  <c r="V44" i="17" s="1"/>
  <c r="W44" i="17" s="1"/>
  <c r="Y44" i="17" s="1"/>
  <c r="Z44" i="17" s="1"/>
  <c r="G31" i="17"/>
  <c r="H31" i="17" s="1"/>
  <c r="J31" i="17" s="1"/>
  <c r="K31" i="17" s="1"/>
  <c r="M31" i="17" s="1"/>
  <c r="N31" i="17" s="1"/>
  <c r="P31" i="17" s="1"/>
  <c r="Q31" i="17" s="1"/>
  <c r="S31" i="17" s="1"/>
  <c r="T31" i="17" s="1"/>
  <c r="V31" i="17" s="1"/>
  <c r="W31" i="17" s="1"/>
  <c r="Y31" i="17" s="1"/>
  <c r="Z31" i="17" s="1"/>
  <c r="R44" i="14"/>
  <c r="S44" i="14" s="1"/>
  <c r="U44" i="14" s="1"/>
  <c r="R45" i="14"/>
  <c r="S45" i="14" s="1"/>
  <c r="U45" i="14" s="1"/>
  <c r="R46" i="14"/>
  <c r="S46" i="14" s="1"/>
  <c r="U46" i="14" s="1"/>
  <c r="R77" i="14"/>
  <c r="S77" i="14" s="1"/>
  <c r="U77" i="14" s="1"/>
  <c r="R78" i="14"/>
  <c r="S78" i="14" s="1"/>
  <c r="U78" i="14" s="1"/>
  <c r="R104" i="14"/>
  <c r="S104" i="14" s="1"/>
  <c r="U104" i="14" s="1"/>
  <c r="R103" i="14"/>
  <c r="S103" i="14" s="1"/>
  <c r="U103" i="14" s="1"/>
  <c r="R102" i="14"/>
  <c r="S102" i="14" s="1"/>
  <c r="U102" i="14" s="1"/>
  <c r="R98" i="14"/>
  <c r="S98" i="14" s="1"/>
  <c r="U98" i="14" s="1"/>
  <c r="R97" i="14"/>
  <c r="S97" i="14" s="1"/>
  <c r="U97" i="14" s="1"/>
  <c r="R96" i="14"/>
  <c r="S96" i="14" s="1"/>
  <c r="U96" i="14" s="1"/>
  <c r="R95" i="14"/>
  <c r="S95" i="14" s="1"/>
  <c r="U95" i="14" s="1"/>
  <c r="R94" i="14"/>
  <c r="S94" i="14" s="1"/>
  <c r="U94" i="14" s="1"/>
  <c r="R90" i="14"/>
  <c r="S90" i="14" s="1"/>
  <c r="U90" i="14" s="1"/>
  <c r="R89" i="14"/>
  <c r="S89" i="14" s="1"/>
  <c r="U89" i="14" s="1"/>
  <c r="R88" i="14"/>
  <c r="S88" i="14" s="1"/>
  <c r="U88" i="14" s="1"/>
  <c r="R87" i="14"/>
  <c r="S87" i="14" s="1"/>
  <c r="U87" i="14" s="1"/>
  <c r="R85" i="14"/>
  <c r="S85" i="14" s="1"/>
  <c r="U85" i="14" s="1"/>
  <c r="R82" i="14"/>
  <c r="S82" i="14" s="1"/>
  <c r="U82" i="14" s="1"/>
  <c r="R81" i="14"/>
  <c r="S81" i="14" s="1"/>
  <c r="U81" i="14" s="1"/>
  <c r="R80" i="14"/>
  <c r="S80" i="14" s="1"/>
  <c r="U80" i="14" s="1"/>
  <c r="R79" i="14"/>
  <c r="S79" i="14" s="1"/>
  <c r="U79" i="14" s="1"/>
  <c r="R74" i="14"/>
  <c r="S74" i="14" s="1"/>
  <c r="U74" i="14" s="1"/>
  <c r="R73" i="14"/>
  <c r="S73" i="14" s="1"/>
  <c r="U73" i="14" s="1"/>
  <c r="R72" i="14"/>
  <c r="S72" i="14" s="1"/>
  <c r="U72" i="14" s="1"/>
  <c r="R71" i="14"/>
  <c r="S71" i="14" s="1"/>
  <c r="U71" i="14" s="1"/>
  <c r="R70" i="14"/>
  <c r="S70" i="14" s="1"/>
  <c r="U70" i="14" s="1"/>
  <c r="R68" i="14"/>
  <c r="S68" i="14" s="1"/>
  <c r="U68" i="14" s="1"/>
  <c r="R66" i="14"/>
  <c r="S66" i="14" s="1"/>
  <c r="U66" i="14" s="1"/>
  <c r="R65" i="14"/>
  <c r="S65" i="14" s="1"/>
  <c r="U65" i="14" s="1"/>
  <c r="R64" i="14"/>
  <c r="S64" i="14" s="1"/>
  <c r="U64" i="14" s="1"/>
  <c r="R63" i="14"/>
  <c r="S63" i="14" s="1"/>
  <c r="U63" i="14" s="1"/>
  <c r="R62" i="14"/>
  <c r="S62" i="14" s="1"/>
  <c r="U62" i="14" s="1"/>
  <c r="R58" i="14"/>
  <c r="S58" i="14" s="1"/>
  <c r="U58" i="14" s="1"/>
  <c r="R57" i="14"/>
  <c r="S57" i="14" s="1"/>
  <c r="U57" i="14" s="1"/>
  <c r="R56" i="14"/>
  <c r="S56" i="14" s="1"/>
  <c r="U56" i="14" s="1"/>
  <c r="R55" i="14"/>
  <c r="S55" i="14" s="1"/>
  <c r="U55" i="14" s="1"/>
  <c r="R54" i="14"/>
  <c r="S54" i="14" s="1"/>
  <c r="U54" i="14" s="1"/>
  <c r="R50" i="14"/>
  <c r="S50" i="14" s="1"/>
  <c r="U50" i="14" s="1"/>
  <c r="R49" i="14"/>
  <c r="S49" i="14" s="1"/>
  <c r="U49" i="14" s="1"/>
  <c r="R48" i="14"/>
  <c r="S48" i="14" s="1"/>
  <c r="U48" i="14" s="1"/>
  <c r="R47" i="14"/>
  <c r="S47" i="14" s="1"/>
  <c r="U47" i="14" s="1"/>
  <c r="R42" i="14"/>
  <c r="S42" i="14" s="1"/>
  <c r="U42" i="14" s="1"/>
  <c r="R41" i="14"/>
  <c r="S41" i="14" s="1"/>
  <c r="U41" i="14" s="1"/>
  <c r="R40" i="14"/>
  <c r="S40" i="14" s="1"/>
  <c r="U40" i="14" s="1"/>
  <c r="R39" i="14"/>
  <c r="S39" i="14" s="1"/>
  <c r="U39" i="14" s="1"/>
  <c r="R38" i="14"/>
  <c r="S38" i="14" s="1"/>
  <c r="U38" i="14" s="1"/>
  <c r="R36" i="14"/>
  <c r="S36" i="14" s="1"/>
  <c r="U36" i="14" s="1"/>
  <c r="R35" i="14"/>
  <c r="S35" i="14" s="1"/>
  <c r="U35" i="14" s="1"/>
  <c r="R34" i="14"/>
  <c r="S34" i="14" s="1"/>
  <c r="U34" i="14" s="1"/>
  <c r="R33" i="14"/>
  <c r="S33" i="14" s="1"/>
  <c r="U33" i="14" s="1"/>
  <c r="R32" i="14"/>
  <c r="S32" i="14" s="1"/>
  <c r="U32" i="14" s="1"/>
  <c r="R31" i="14"/>
  <c r="S31" i="14" s="1"/>
  <c r="U31" i="14" s="1"/>
  <c r="R30" i="14"/>
  <c r="S30" i="14" s="1"/>
  <c r="U30" i="14" s="1"/>
  <c r="R29" i="14"/>
  <c r="S29" i="14" s="1"/>
  <c r="U29" i="14" s="1"/>
  <c r="R26" i="14"/>
  <c r="S26" i="14" s="1"/>
  <c r="U26" i="14" s="1"/>
  <c r="R25" i="14"/>
  <c r="S25" i="14" s="1"/>
  <c r="U25" i="14" s="1"/>
  <c r="R24" i="14"/>
  <c r="S24" i="14" s="1"/>
  <c r="U24" i="14" s="1"/>
  <c r="R23" i="14"/>
  <c r="S23" i="14" s="1"/>
  <c r="U23" i="14" s="1"/>
  <c r="R22" i="14"/>
  <c r="S22" i="14" s="1"/>
  <c r="U22" i="14" s="1"/>
  <c r="R16" i="14"/>
  <c r="S16" i="14" s="1"/>
  <c r="U16" i="14" s="1"/>
  <c r="R15" i="14"/>
  <c r="S15" i="14" s="1"/>
  <c r="U15" i="14" s="1"/>
  <c r="R14" i="14"/>
  <c r="S14" i="14" s="1"/>
  <c r="U14" i="14" s="1"/>
  <c r="R13" i="14"/>
  <c r="S13" i="14" s="1"/>
  <c r="U13" i="14" s="1"/>
  <c r="R10" i="14"/>
  <c r="S10" i="14" s="1"/>
  <c r="U10" i="14" s="1"/>
  <c r="R9" i="14"/>
  <c r="S9" i="14" s="1"/>
  <c r="U9" i="14" s="1"/>
  <c r="R8" i="14"/>
  <c r="S8" i="14" s="1"/>
  <c r="U8" i="14" s="1"/>
  <c r="R7" i="14"/>
  <c r="S7" i="14" s="1"/>
  <c r="U7" i="14" s="1"/>
  <c r="R6" i="14"/>
  <c r="S6" i="14" s="1"/>
  <c r="U6" i="14" s="1"/>
  <c r="R2" i="14"/>
  <c r="S2" i="14" s="1"/>
  <c r="U2" i="14" s="1"/>
  <c r="R17" i="14"/>
  <c r="S17" i="14" s="1"/>
  <c r="U17" i="14" s="1"/>
  <c r="R18" i="14"/>
  <c r="S18" i="14" s="1"/>
  <c r="U18" i="14" s="1"/>
  <c r="R83" i="14"/>
  <c r="S83" i="14" s="1"/>
  <c r="U83" i="14" s="1"/>
  <c r="F120" i="14"/>
  <c r="F121" i="14" s="1"/>
  <c r="F122" i="14" s="1"/>
  <c r="E112" i="14"/>
  <c r="R86" i="14"/>
  <c r="S86" i="14" s="1"/>
  <c r="U86" i="14" s="1"/>
  <c r="R43" i="14"/>
  <c r="S43" i="14" s="1"/>
  <c r="U43" i="14" s="1"/>
  <c r="H20" i="11"/>
  <c r="AA8" i="17" l="1"/>
  <c r="AA95" i="17"/>
  <c r="AA97" i="17"/>
  <c r="AA54" i="17"/>
  <c r="K22" i="17"/>
  <c r="M22" i="17" s="1"/>
  <c r="N22" i="17" s="1"/>
  <c r="P22" i="17" s="1"/>
  <c r="Q22" i="17" s="1"/>
  <c r="S22" i="17" s="1"/>
  <c r="T22" i="17" s="1"/>
  <c r="V22" i="17" s="1"/>
  <c r="W22" i="17" s="1"/>
  <c r="Y22" i="17" s="1"/>
  <c r="Z22" i="17" s="1"/>
  <c r="AA84" i="17"/>
  <c r="AA64" i="17"/>
  <c r="AA90" i="17"/>
  <c r="AA92" i="17"/>
  <c r="AA5" i="17"/>
  <c r="AA79" i="17"/>
  <c r="AA70" i="17"/>
  <c r="K51" i="17"/>
  <c r="M51" i="17" s="1"/>
  <c r="N51" i="17" s="1"/>
  <c r="P51" i="17" s="1"/>
  <c r="Q51" i="17" s="1"/>
  <c r="S51" i="17" s="1"/>
  <c r="T51" i="17" s="1"/>
  <c r="V51" i="17" s="1"/>
  <c r="W51" i="17" s="1"/>
  <c r="Y51" i="17" s="1"/>
  <c r="Z51" i="17" s="1"/>
  <c r="K37" i="17"/>
  <c r="M37" i="17" s="1"/>
  <c r="N37" i="17" s="1"/>
  <c r="P37" i="17" s="1"/>
  <c r="Q37" i="17" s="1"/>
  <c r="S37" i="17" s="1"/>
  <c r="T37" i="17" s="1"/>
  <c r="V37" i="17" s="1"/>
  <c r="W37" i="17" s="1"/>
  <c r="Y37" i="17" s="1"/>
  <c r="Z37" i="17" s="1"/>
  <c r="K101" i="17"/>
  <c r="M101" i="17" s="1"/>
  <c r="N101" i="17" s="1"/>
  <c r="P101" i="17" s="1"/>
  <c r="Q101" i="17" s="1"/>
  <c r="S101" i="17" s="1"/>
  <c r="T101" i="17" s="1"/>
  <c r="V101" i="17" s="1"/>
  <c r="W101" i="17" s="1"/>
  <c r="Y101" i="17" s="1"/>
  <c r="Z101" i="17" s="1"/>
  <c r="J21" i="17"/>
  <c r="K21" i="17" s="1"/>
  <c r="M21" i="17" s="1"/>
  <c r="N21" i="17" s="1"/>
  <c r="P21" i="17" s="1"/>
  <c r="Q21" i="17" s="1"/>
  <c r="S21" i="17" s="1"/>
  <c r="T21" i="17" s="1"/>
  <c r="V21" i="17" s="1"/>
  <c r="W21" i="17" s="1"/>
  <c r="Y21" i="17" s="1"/>
  <c r="Z21" i="17" s="1"/>
  <c r="K72" i="17"/>
  <c r="M72" i="17" s="1"/>
  <c r="N72" i="17" s="1"/>
  <c r="P72" i="17" s="1"/>
  <c r="Q72" i="17" s="1"/>
  <c r="S72" i="17" s="1"/>
  <c r="T72" i="17" s="1"/>
  <c r="V72" i="17" s="1"/>
  <c r="W72" i="17" s="1"/>
  <c r="Y72" i="17" s="1"/>
  <c r="Z72" i="17" s="1"/>
  <c r="J34" i="17"/>
  <c r="K34" i="17" s="1"/>
  <c r="M34" i="17" s="1"/>
  <c r="N34" i="17" s="1"/>
  <c r="P34" i="17" s="1"/>
  <c r="Q34" i="17" s="1"/>
  <c r="S34" i="17" s="1"/>
  <c r="T34" i="17" s="1"/>
  <c r="V34" i="17" s="1"/>
  <c r="W34" i="17" s="1"/>
  <c r="Y34" i="17" s="1"/>
  <c r="Z34" i="17" s="1"/>
  <c r="K60" i="17"/>
  <c r="M60" i="17" s="1"/>
  <c r="N60" i="17" s="1"/>
  <c r="P60" i="17" s="1"/>
  <c r="Q60" i="17" s="1"/>
  <c r="S60" i="17" s="1"/>
  <c r="T60" i="17" s="1"/>
  <c r="V60" i="17" s="1"/>
  <c r="W60" i="17" s="1"/>
  <c r="Y60" i="17" s="1"/>
  <c r="Z60" i="17" s="1"/>
  <c r="K36" i="17"/>
  <c r="M36" i="17" s="1"/>
  <c r="N36" i="17" s="1"/>
  <c r="P36" i="17" s="1"/>
  <c r="Q36" i="17" s="1"/>
  <c r="S36" i="17" s="1"/>
  <c r="T36" i="17" s="1"/>
  <c r="V36" i="17" s="1"/>
  <c r="W36" i="17" s="1"/>
  <c r="Y36" i="17" s="1"/>
  <c r="Z36" i="17" s="1"/>
  <c r="K73" i="17"/>
  <c r="M73" i="17" s="1"/>
  <c r="N73" i="17" s="1"/>
  <c r="P73" i="17" s="1"/>
  <c r="Q73" i="17" s="1"/>
  <c r="S73" i="17" s="1"/>
  <c r="T73" i="17" s="1"/>
  <c r="V73" i="17" s="1"/>
  <c r="W73" i="17" s="1"/>
  <c r="Y73" i="17" s="1"/>
  <c r="Z73" i="17" s="1"/>
  <c r="K38" i="17"/>
  <c r="M38" i="17" s="1"/>
  <c r="N38" i="17" s="1"/>
  <c r="P38" i="17" s="1"/>
  <c r="Q38" i="17" s="1"/>
  <c r="S38" i="17" s="1"/>
  <c r="T38" i="17" s="1"/>
  <c r="V38" i="17" s="1"/>
  <c r="W38" i="17" s="1"/>
  <c r="Y38" i="17" s="1"/>
  <c r="Z38" i="17" s="1"/>
  <c r="J26" i="17"/>
  <c r="K26" i="17" s="1"/>
  <c r="M26" i="17" s="1"/>
  <c r="N26" i="17" s="1"/>
  <c r="P26" i="17" s="1"/>
  <c r="Q26" i="17" s="1"/>
  <c r="S26" i="17" s="1"/>
  <c r="T26" i="17" s="1"/>
  <c r="V26" i="17" s="1"/>
  <c r="W26" i="17" s="1"/>
  <c r="Y26" i="17" s="1"/>
  <c r="Z26" i="17" s="1"/>
  <c r="J42" i="17"/>
  <c r="K42" i="17" s="1"/>
  <c r="M42" i="17" s="1"/>
  <c r="N42" i="17" s="1"/>
  <c r="P42" i="17" s="1"/>
  <c r="Q42" i="17" s="1"/>
  <c r="S42" i="17" s="1"/>
  <c r="T42" i="17" s="1"/>
  <c r="V42" i="17" s="1"/>
  <c r="W42" i="17" s="1"/>
  <c r="Y42" i="17" s="1"/>
  <c r="Z42" i="17" s="1"/>
  <c r="J86" i="17"/>
  <c r="K86" i="17" s="1"/>
  <c r="M86" i="17" s="1"/>
  <c r="N86" i="17" s="1"/>
  <c r="P86" i="17" s="1"/>
  <c r="Q86" i="17" s="1"/>
  <c r="S86" i="17" s="1"/>
  <c r="T86" i="17" s="1"/>
  <c r="V86" i="17" s="1"/>
  <c r="W86" i="17" s="1"/>
  <c r="Y86" i="17" s="1"/>
  <c r="Z86" i="17" s="1"/>
  <c r="J43" i="17"/>
  <c r="K43" i="17" s="1"/>
  <c r="M43" i="17" s="1"/>
  <c r="N43" i="17" s="1"/>
  <c r="P43" i="17" s="1"/>
  <c r="Q43" i="17" s="1"/>
  <c r="S43" i="17" s="1"/>
  <c r="T43" i="17" s="1"/>
  <c r="V43" i="17" s="1"/>
  <c r="W43" i="17" s="1"/>
  <c r="Y43" i="17" s="1"/>
  <c r="Z43" i="17" s="1"/>
  <c r="J94" i="17"/>
  <c r="K94" i="17" s="1"/>
  <c r="M94" i="17" s="1"/>
  <c r="N94" i="17" s="1"/>
  <c r="P94" i="17" s="1"/>
  <c r="Q94" i="17" s="1"/>
  <c r="S94" i="17" s="1"/>
  <c r="T94" i="17" s="1"/>
  <c r="V94" i="17" s="1"/>
  <c r="W94" i="17" s="1"/>
  <c r="Y94" i="17" s="1"/>
  <c r="Z94" i="17" s="1"/>
  <c r="AA98" i="17"/>
  <c r="AA104" i="17"/>
  <c r="AA45" i="17"/>
  <c r="AA16" i="17"/>
  <c r="AA99" i="17"/>
  <c r="AA50" i="17"/>
  <c r="AA71" i="17"/>
  <c r="H67" i="17"/>
  <c r="J67" i="17" s="1"/>
  <c r="K67" i="17" s="1"/>
  <c r="M67" i="17" s="1"/>
  <c r="N67" i="17" s="1"/>
  <c r="P67" i="17" s="1"/>
  <c r="Q67" i="17" s="1"/>
  <c r="S67" i="17" s="1"/>
  <c r="T67" i="17" s="1"/>
  <c r="V67" i="17" s="1"/>
  <c r="W67" i="17" s="1"/>
  <c r="Y67" i="17" s="1"/>
  <c r="Z67" i="17" s="1"/>
  <c r="AA27" i="17"/>
  <c r="AA48" i="17"/>
  <c r="AA30" i="17"/>
  <c r="AA33" i="17"/>
  <c r="AA69" i="17"/>
  <c r="AA9" i="17"/>
  <c r="AA2" i="17"/>
  <c r="AA49" i="17"/>
  <c r="AA59" i="17"/>
  <c r="AA17" i="17"/>
  <c r="AA62" i="17"/>
  <c r="AA14" i="17"/>
  <c r="AA46" i="17"/>
  <c r="AA41" i="17"/>
  <c r="AA91" i="17"/>
  <c r="AA53" i="17"/>
  <c r="AA11" i="17"/>
  <c r="AA83" i="17"/>
  <c r="AA18" i="17"/>
  <c r="AA3" i="17"/>
  <c r="AA85" i="17"/>
  <c r="AA57" i="17"/>
  <c r="AA39" i="17"/>
  <c r="AA80" i="17"/>
  <c r="AA24" i="17"/>
  <c r="AA65" i="17"/>
  <c r="AA31" i="17"/>
  <c r="AA19" i="17"/>
  <c r="AA6" i="17"/>
  <c r="AA32" i="17"/>
  <c r="AA13" i="17"/>
  <c r="AA40" i="17"/>
  <c r="AA81" i="17"/>
  <c r="AA63" i="17"/>
  <c r="AA55" i="17"/>
  <c r="AA44" i="17"/>
  <c r="AA25" i="17"/>
  <c r="AA4" i="17"/>
  <c r="AA89" i="17"/>
  <c r="AA61" i="17"/>
  <c r="AA15" i="17"/>
  <c r="AA82" i="17"/>
  <c r="AA66" i="17"/>
  <c r="AA58" i="17"/>
  <c r="AA103" i="17"/>
  <c r="AA10" i="17"/>
  <c r="AA88" i="17"/>
  <c r="AA20" i="17"/>
  <c r="AA35" i="17"/>
  <c r="AA77" i="17"/>
  <c r="AA29" i="17"/>
  <c r="AA23" i="17"/>
  <c r="AA102" i="17"/>
  <c r="AA93" i="17"/>
  <c r="AA56" i="17"/>
  <c r="AA52" i="17"/>
  <c r="AA76" i="17"/>
  <c r="AA68" i="17"/>
  <c r="AA100" i="17"/>
  <c r="AA7" i="17"/>
  <c r="AA74" i="17"/>
  <c r="AA28" i="17"/>
  <c r="AA47" i="17"/>
  <c r="AA96" i="17"/>
  <c r="AA87" i="17"/>
  <c r="AA78" i="17"/>
  <c r="AA75" i="17"/>
  <c r="AA12" i="17"/>
  <c r="R11" i="14"/>
  <c r="S11" i="14" s="1"/>
  <c r="U11" i="14" s="1"/>
  <c r="R27" i="14"/>
  <c r="S27" i="14" s="1"/>
  <c r="U27" i="14" s="1"/>
  <c r="R59" i="14"/>
  <c r="S59" i="14" s="1"/>
  <c r="U59" i="14" s="1"/>
  <c r="R75" i="14"/>
  <c r="S75" i="14" s="1"/>
  <c r="U75" i="14" s="1"/>
  <c r="R91" i="14"/>
  <c r="S91" i="14" s="1"/>
  <c r="U91" i="14" s="1"/>
  <c r="R12" i="14"/>
  <c r="S12" i="14" s="1"/>
  <c r="U12" i="14" s="1"/>
  <c r="R28" i="14"/>
  <c r="S28" i="14" s="1"/>
  <c r="U28" i="14" s="1"/>
  <c r="R60" i="14"/>
  <c r="S60" i="14" s="1"/>
  <c r="U60" i="14" s="1"/>
  <c r="R76" i="14"/>
  <c r="S76" i="14" s="1"/>
  <c r="U76" i="14" s="1"/>
  <c r="R92" i="14"/>
  <c r="S92" i="14" s="1"/>
  <c r="U92" i="14" s="1"/>
  <c r="R61" i="14"/>
  <c r="S61" i="14" s="1"/>
  <c r="U61" i="14" s="1"/>
  <c r="R93" i="14"/>
  <c r="S93" i="14" s="1"/>
  <c r="U93" i="14" s="1"/>
  <c r="R19" i="14"/>
  <c r="S19" i="14" s="1"/>
  <c r="U19" i="14" s="1"/>
  <c r="R51" i="14"/>
  <c r="S51" i="14" s="1"/>
  <c r="U51" i="14" s="1"/>
  <c r="R99" i="14"/>
  <c r="S99" i="14" s="1"/>
  <c r="U99" i="14" s="1"/>
  <c r="R3" i="14"/>
  <c r="S3" i="14" s="1"/>
  <c r="U3" i="14" s="1"/>
  <c r="R4" i="14"/>
  <c r="S4" i="14" s="1"/>
  <c r="U4" i="14" s="1"/>
  <c r="R20" i="14"/>
  <c r="S20" i="14" s="1"/>
  <c r="U20" i="14" s="1"/>
  <c r="R52" i="14"/>
  <c r="S52" i="14" s="1"/>
  <c r="U52" i="14" s="1"/>
  <c r="R84" i="14"/>
  <c r="S84" i="14" s="1"/>
  <c r="U84" i="14" s="1"/>
  <c r="R100" i="14"/>
  <c r="S100" i="14" s="1"/>
  <c r="U100" i="14" s="1"/>
  <c r="R67" i="14"/>
  <c r="S67" i="14" s="1"/>
  <c r="U67" i="14" s="1"/>
  <c r="R5" i="14"/>
  <c r="S5" i="14" s="1"/>
  <c r="U5" i="14" s="1"/>
  <c r="R21" i="14"/>
  <c r="S21" i="14" s="1"/>
  <c r="U21" i="14" s="1"/>
  <c r="R37" i="14"/>
  <c r="S37" i="14" s="1"/>
  <c r="U37" i="14" s="1"/>
  <c r="R53" i="14"/>
  <c r="S53" i="14" s="1"/>
  <c r="U53" i="14" s="1"/>
  <c r="R69" i="14"/>
  <c r="S69" i="14" s="1"/>
  <c r="U69" i="14" s="1"/>
  <c r="R101" i="14"/>
  <c r="S101" i="14" s="1"/>
  <c r="U101" i="14" s="1"/>
  <c r="H7" i="11"/>
  <c r="H32" i="11"/>
  <c r="H33" i="11"/>
  <c r="H34" i="11"/>
  <c r="H31" i="11"/>
  <c r="H25" i="11"/>
  <c r="H26" i="11"/>
  <c r="H27" i="11"/>
  <c r="H24" i="11"/>
  <c r="H18" i="11"/>
  <c r="H19" i="11"/>
  <c r="H17" i="11"/>
  <c r="H11" i="11"/>
  <c r="H12" i="11"/>
  <c r="H13" i="11"/>
  <c r="H10" i="11"/>
  <c r="H4" i="11"/>
  <c r="H5" i="11"/>
  <c r="H6" i="11"/>
  <c r="H3" i="11"/>
  <c r="R3" i="9"/>
  <c r="R4" i="9"/>
  <c r="R5" i="9"/>
  <c r="R6" i="9"/>
  <c r="R7" i="9"/>
  <c r="R8" i="9"/>
  <c r="R9" i="9"/>
  <c r="R10" i="9"/>
  <c r="R11" i="9"/>
  <c r="R12" i="9"/>
  <c r="R13" i="9"/>
  <c r="R14" i="9"/>
  <c r="R15" i="9"/>
  <c r="R16" i="9"/>
  <c r="R17" i="9"/>
  <c r="R18" i="9"/>
  <c r="R19" i="9"/>
  <c r="R20" i="9"/>
  <c r="R21" i="9"/>
  <c r="R22" i="9"/>
  <c r="R23" i="9"/>
  <c r="R24" i="9"/>
  <c r="R25" i="9"/>
  <c r="R26" i="9"/>
  <c r="R27" i="9"/>
  <c r="R28" i="9"/>
  <c r="R29" i="9"/>
  <c r="R30" i="9"/>
  <c r="R31" i="9"/>
  <c r="R32" i="9"/>
  <c r="R33" i="9"/>
  <c r="R34" i="9"/>
  <c r="R35" i="9"/>
  <c r="R36" i="9"/>
  <c r="R37" i="9"/>
  <c r="R38" i="9"/>
  <c r="R39" i="9"/>
  <c r="R40" i="9"/>
  <c r="R41" i="9"/>
  <c r="R42" i="9"/>
  <c r="R43" i="9"/>
  <c r="R44" i="9"/>
  <c r="R45" i="9"/>
  <c r="R46" i="9"/>
  <c r="R47" i="9"/>
  <c r="R48" i="9"/>
  <c r="R49" i="9"/>
  <c r="R50" i="9"/>
  <c r="R51" i="9"/>
  <c r="R52" i="9"/>
  <c r="R53" i="9"/>
  <c r="R54" i="9"/>
  <c r="R55" i="9"/>
  <c r="R56" i="9"/>
  <c r="R57" i="9"/>
  <c r="R58" i="9"/>
  <c r="R59" i="9"/>
  <c r="R60" i="9"/>
  <c r="R61" i="9"/>
  <c r="R62" i="9"/>
  <c r="R63" i="9"/>
  <c r="R64" i="9"/>
  <c r="R65" i="9"/>
  <c r="R66" i="9"/>
  <c r="R67" i="9"/>
  <c r="R68" i="9"/>
  <c r="R69" i="9"/>
  <c r="R70" i="9"/>
  <c r="R71" i="9"/>
  <c r="R72" i="9"/>
  <c r="R73" i="9"/>
  <c r="R74" i="9"/>
  <c r="R75" i="9"/>
  <c r="R76" i="9"/>
  <c r="R77" i="9"/>
  <c r="R78" i="9"/>
  <c r="R79" i="9"/>
  <c r="R80" i="9"/>
  <c r="R81" i="9"/>
  <c r="R82" i="9"/>
  <c r="R83" i="9"/>
  <c r="R84" i="9"/>
  <c r="R85" i="9"/>
  <c r="R86" i="9"/>
  <c r="R87" i="9"/>
  <c r="R88" i="9"/>
  <c r="R89" i="9"/>
  <c r="R90" i="9"/>
  <c r="R91" i="9"/>
  <c r="R92" i="9"/>
  <c r="R93" i="9"/>
  <c r="R94" i="9"/>
  <c r="R95" i="9"/>
  <c r="R96" i="9"/>
  <c r="R97" i="9"/>
  <c r="R98" i="9"/>
  <c r="R99" i="9"/>
  <c r="R100" i="9"/>
  <c r="R101" i="9"/>
  <c r="R102" i="9"/>
  <c r="R103" i="9"/>
  <c r="R104" i="9"/>
  <c r="R105" i="9"/>
  <c r="R2" i="9"/>
  <c r="L5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5" i="8"/>
  <c r="L26" i="8"/>
  <c r="L27" i="8"/>
  <c r="L28" i="8"/>
  <c r="L29" i="8"/>
  <c r="L30" i="8"/>
  <c r="L31" i="8"/>
  <c r="L32" i="8"/>
  <c r="L33" i="8"/>
  <c r="L34" i="8"/>
  <c r="L35" i="8"/>
  <c r="L38" i="8"/>
  <c r="L41" i="8"/>
  <c r="L42" i="8"/>
  <c r="L43" i="8"/>
  <c r="L44" i="8"/>
  <c r="L45" i="8"/>
  <c r="L46" i="8"/>
  <c r="L47" i="8"/>
  <c r="L48" i="8"/>
  <c r="L49" i="8"/>
  <c r="L50" i="8"/>
  <c r="L51" i="8"/>
  <c r="L54" i="8"/>
  <c r="L59" i="8"/>
  <c r="L60" i="8"/>
  <c r="L61" i="8"/>
  <c r="L62" i="8"/>
  <c r="L63" i="8"/>
  <c r="L64" i="8"/>
  <c r="L65" i="8"/>
  <c r="L66" i="8"/>
  <c r="L67" i="8"/>
  <c r="L75" i="8"/>
  <c r="L76" i="8"/>
  <c r="L77" i="8"/>
  <c r="L78" i="8"/>
  <c r="L79" i="8"/>
  <c r="L80" i="8"/>
  <c r="L81" i="8"/>
  <c r="L82" i="8"/>
  <c r="L83" i="8"/>
  <c r="L85" i="8"/>
  <c r="L86" i="8"/>
  <c r="L90" i="8"/>
  <c r="L91" i="8"/>
  <c r="L92" i="8"/>
  <c r="L93" i="8"/>
  <c r="L94" i="8"/>
  <c r="L95" i="8"/>
  <c r="L96" i="8"/>
  <c r="L97" i="8"/>
  <c r="L98" i="8"/>
  <c r="L99" i="8"/>
  <c r="L102" i="8"/>
  <c r="L3" i="8"/>
  <c r="L6" i="8"/>
  <c r="L20" i="8"/>
  <c r="L21" i="8"/>
  <c r="L22" i="8"/>
  <c r="L36" i="8"/>
  <c r="L37" i="8"/>
  <c r="L53" i="8"/>
  <c r="L57" i="8"/>
  <c r="L68" i="8"/>
  <c r="L69" i="8"/>
  <c r="L70" i="8"/>
  <c r="L84" i="8"/>
  <c r="L100" i="8"/>
  <c r="L101" i="8"/>
  <c r="L105" i="8"/>
  <c r="L4" i="8"/>
  <c r="L2" i="8"/>
  <c r="L23" i="8"/>
  <c r="L24" i="8"/>
  <c r="L39" i="8"/>
  <c r="L40" i="8"/>
  <c r="L52" i="8"/>
  <c r="L55" i="8"/>
  <c r="L56" i="8"/>
  <c r="L58" i="8"/>
  <c r="L71" i="8"/>
  <c r="L72" i="8"/>
  <c r="L73" i="8"/>
  <c r="L74" i="8"/>
  <c r="L87" i="8"/>
  <c r="L88" i="8"/>
  <c r="L89" i="8"/>
  <c r="L103" i="8"/>
  <c r="L104" i="8"/>
  <c r="E13" i="3"/>
  <c r="P18" i="2"/>
  <c r="P17" i="2"/>
  <c r="P16" i="2"/>
  <c r="P15" i="2"/>
  <c r="P14" i="2"/>
  <c r="P13" i="2"/>
  <c r="P12" i="2"/>
  <c r="P9" i="2"/>
  <c r="P8" i="2"/>
  <c r="P7" i="2"/>
  <c r="O18" i="2"/>
  <c r="O17" i="2"/>
  <c r="O16" i="2"/>
  <c r="O15" i="2"/>
  <c r="O14" i="2"/>
  <c r="O10" i="2"/>
  <c r="O8" i="2"/>
  <c r="O7" i="2"/>
  <c r="O13" i="2"/>
  <c r="O12" i="2"/>
  <c r="N18" i="2"/>
  <c r="N17" i="2"/>
  <c r="N16" i="2"/>
  <c r="N15" i="2"/>
  <c r="N14" i="2"/>
  <c r="N13" i="2"/>
  <c r="N12" i="2"/>
  <c r="N7" i="2"/>
  <c r="N8" i="2"/>
  <c r="U3" i="2"/>
  <c r="U4" i="2"/>
  <c r="U5" i="2"/>
  <c r="U2" i="2"/>
  <c r="P5" i="2"/>
  <c r="P4" i="2"/>
  <c r="P3" i="2"/>
  <c r="P2" i="2"/>
  <c r="O5" i="2"/>
  <c r="O4" i="2"/>
  <c r="O3" i="2"/>
  <c r="O2" i="2"/>
  <c r="N5" i="2"/>
  <c r="N4" i="2"/>
  <c r="N3" i="2"/>
  <c r="N2" i="2"/>
  <c r="L28" i="1"/>
  <c r="L58" i="1"/>
  <c r="M86" i="1"/>
  <c r="AA51" i="17" l="1"/>
  <c r="AA94" i="17"/>
  <c r="AA26" i="17"/>
  <c r="AA38" i="17"/>
  <c r="AA60" i="17"/>
  <c r="AA72" i="17"/>
  <c r="AA22" i="17"/>
  <c r="AA101" i="17"/>
  <c r="AA37" i="17"/>
  <c r="AA73" i="17"/>
  <c r="AA42" i="17"/>
  <c r="AA43" i="17"/>
  <c r="AA67" i="17"/>
  <c r="AA34" i="17"/>
  <c r="AA21" i="17"/>
  <c r="AA86" i="17"/>
  <c r="AA36" i="17"/>
  <c r="P6" i="2"/>
  <c r="T5" i="2" s="1"/>
  <c r="N6" i="2"/>
  <c r="R2" i="2" s="1"/>
  <c r="O6" i="2"/>
  <c r="S4" i="2" s="1"/>
  <c r="R3" i="2" l="1"/>
  <c r="T4" i="2"/>
  <c r="S3" i="2"/>
  <c r="S2" i="2"/>
  <c r="R5" i="2"/>
  <c r="R4" i="2"/>
  <c r="T3" i="2"/>
  <c r="T2" i="2"/>
  <c r="S5" i="2"/>
</calcChain>
</file>

<file path=xl/sharedStrings.xml><?xml version="1.0" encoding="utf-8"?>
<sst xmlns="http://schemas.openxmlformats.org/spreadsheetml/2006/main" count="2837" uniqueCount="581">
  <si>
    <t>Project ID</t>
  </si>
  <si>
    <t>Customer</t>
  </si>
  <si>
    <t>Project Type</t>
  </si>
  <si>
    <t>Customization Details</t>
  </si>
  <si>
    <t>Project Value (USD million)</t>
  </si>
  <si>
    <t>Probability of Order (%)</t>
  </si>
  <si>
    <t>Expected Order Date</t>
  </si>
  <si>
    <t>Required Delivery Date</t>
  </si>
  <si>
    <t>Region</t>
  </si>
  <si>
    <t>Year</t>
  </si>
  <si>
    <t>KW-2301-1</t>
  </si>
  <si>
    <t>Fusion Resort Hue</t>
  </si>
  <si>
    <t>Condominium Fit-Out</t>
  </si>
  <si>
    <t>Solid oak veneer and brushed brass finish</t>
  </si>
  <si>
    <t>Domestic</t>
  </si>
  <si>
    <t>Samsung R&amp;D Center</t>
  </si>
  <si>
    <t>Hospitality Casegoods</t>
  </si>
  <si>
    <t>Knock-down cabinet system with anti-scratch coating</t>
  </si>
  <si>
    <t>CapitaLand Vietnam</t>
  </si>
  <si>
    <t>Office Interior</t>
  </si>
  <si>
    <t>Ergonomic design with modular desk partition system</t>
  </si>
  <si>
    <t>KW-2302-1</t>
  </si>
  <si>
    <t>The Grand Ho Tram</t>
  </si>
  <si>
    <t>Retail Interior</t>
  </si>
  <si>
    <t>High-gloss acrylic finish with integrated lighting strip</t>
  </si>
  <si>
    <t>Hospitality Package</t>
  </si>
  <si>
    <t>Recycled wood composite with matte paint finish</t>
  </si>
  <si>
    <t>Export (EU)</t>
  </si>
  <si>
    <t>Parkson Le Thanh Ton</t>
  </si>
  <si>
    <t>OEM Furniture Components</t>
  </si>
  <si>
    <t>Moisture-proof MDF with custom lacquer color scheme</t>
  </si>
  <si>
    <t>KW-2303-1</t>
  </si>
  <si>
    <t>Fusion Resort Phu Quoc</t>
  </si>
  <si>
    <t>AEON Mall Hanoi</t>
  </si>
  <si>
    <t>Eco-certified laminated panels with acoustic treatment</t>
  </si>
  <si>
    <t>IKEA Trading Asia</t>
  </si>
  <si>
    <t>Export (SG)</t>
  </si>
  <si>
    <t>KW-2304-1</t>
  </si>
  <si>
    <t>Hyatt Place Hanoi</t>
  </si>
  <si>
    <t>Hotel Renovation</t>
  </si>
  <si>
    <t>Intel Vietnam Campus</t>
  </si>
  <si>
    <t>Vinhomes Grand Park</t>
  </si>
  <si>
    <t>KW-2305-1</t>
  </si>
  <si>
    <t>Marriott Courtyard Hanoi</t>
  </si>
  <si>
    <t>Residential Fit-Out</t>
  </si>
  <si>
    <t>KW-2306-1</t>
  </si>
  <si>
    <t>Takashimaya VN</t>
  </si>
  <si>
    <t>Retail Fixtures</t>
  </si>
  <si>
    <t>KW-2307-1</t>
  </si>
  <si>
    <t>Natural oak shelving with concealed wiring system</t>
  </si>
  <si>
    <t>Hilton Saigon</t>
  </si>
  <si>
    <t>Novotel Nha Trang</t>
  </si>
  <si>
    <t>KW-2308-1</t>
  </si>
  <si>
    <t>AEON Mall Binh Duong</t>
  </si>
  <si>
    <t>KW-2309-1</t>
  </si>
  <si>
    <t>UNIQLO Vietnam</t>
  </si>
  <si>
    <t>Office Furniture</t>
  </si>
  <si>
    <t>MUJI Singapore</t>
  </si>
  <si>
    <t>KW-2401-1</t>
  </si>
  <si>
    <t>KW-2402-1</t>
  </si>
  <si>
    <t>Compact modular kitchen system with quartz countertop</t>
  </si>
  <si>
    <t>KW-2403-1</t>
  </si>
  <si>
    <t>KW-2404-1</t>
  </si>
  <si>
    <t>KW-2405-1</t>
  </si>
  <si>
    <t>Glass showcase with LED lighting and modular base</t>
  </si>
  <si>
    <t>KW-2406-1</t>
  </si>
  <si>
    <t>KW-2407-1</t>
  </si>
  <si>
    <t>Hyatt Regency Danang</t>
  </si>
  <si>
    <t>KW-2408-1</t>
  </si>
  <si>
    <t>KW-2409-1</t>
  </si>
  <si>
    <t>KW-2410-1</t>
  </si>
  <si>
    <t>KW-2501-1</t>
  </si>
  <si>
    <t>KW-2502-1</t>
  </si>
  <si>
    <t>Export (TH)</t>
  </si>
  <si>
    <t>KW-2503-1</t>
  </si>
  <si>
    <t>KW-2504-1</t>
  </si>
  <si>
    <t>KW-2505-1</t>
  </si>
  <si>
    <t>KW-2506-1</t>
  </si>
  <si>
    <t>Pullman Saigon Centre</t>
  </si>
  <si>
    <t>KW-2507-1</t>
  </si>
  <si>
    <t>KW-2508-1</t>
  </si>
  <si>
    <t>KW-2509</t>
  </si>
  <si>
    <t>Modular kitchen system, marble countertop, LED strip</t>
  </si>
  <si>
    <t>KW-2510</t>
  </si>
  <si>
    <t>Hilton Hoi An</t>
  </si>
  <si>
    <t>Solid ash veneer furniture, moisture-resistant core</t>
  </si>
  <si>
    <t>KW-2511</t>
  </si>
  <si>
    <t>Sustainable bamboo shelving system</t>
  </si>
  <si>
    <t>KW-2512</t>
  </si>
  <si>
    <t>Fusion Resort Da Nang</t>
  </si>
  <si>
    <t>Outdoor-grade composite furniture, powder-coated steel</t>
  </si>
  <si>
    <t>KW-2513</t>
  </si>
  <si>
    <t>KD wardrobe system, smart hinge integration</t>
  </si>
  <si>
    <t>KW-2514</t>
  </si>
  <si>
    <t>UNIQLO Vietnam (Saigon Centre)</t>
  </si>
  <si>
    <t>Custom modular wall bay with concealed lighting</t>
  </si>
  <si>
    <t>KW-2515</t>
  </si>
  <si>
    <t>Laminated MDF, oak veneer, beach-resistant coating</t>
  </si>
  <si>
    <t>KW-2516</t>
  </si>
  <si>
    <t>AEON Mall Tan Phu</t>
  </si>
  <si>
    <t>Retail Furniture</t>
  </si>
  <si>
    <t>Tenant kiosk, cashier counter, laminate finish</t>
  </si>
  <si>
    <t>KW-2517</t>
  </si>
  <si>
    <t>Smart workstations, adjustable desks, acoustic pods</t>
  </si>
  <si>
    <t>KW-2518</t>
  </si>
  <si>
    <t>Pullman Phu Quoc</t>
  </si>
  <si>
    <t>Casegoods, vanity counters, minibar consoles</t>
  </si>
  <si>
    <t>KW-2519</t>
  </si>
  <si>
    <t>Hotel Fit-Out</t>
  </si>
  <si>
    <t>Veneered furniture with LED headboards</t>
  </si>
  <si>
    <t>KW-2520</t>
  </si>
  <si>
    <t>Retail Display</t>
  </si>
  <si>
    <t>Brass frame, tempered glass showcases</t>
  </si>
  <si>
    <t>KW-2301-2</t>
  </si>
  <si>
    <t>KW-2301-3</t>
  </si>
  <si>
    <t>KW-2302-2</t>
  </si>
  <si>
    <t>KW-2302-3</t>
  </si>
  <si>
    <t>KW-2303-2</t>
  </si>
  <si>
    <t>KW-2303-3</t>
  </si>
  <si>
    <t>KW-2304-2</t>
  </si>
  <si>
    <t>KW-2304-3</t>
  </si>
  <si>
    <t>KW-2305-2</t>
  </si>
  <si>
    <t>KW-2305-3</t>
  </si>
  <si>
    <t>KW-2306-2</t>
  </si>
  <si>
    <t>KW-2306-3</t>
  </si>
  <si>
    <t>KW-2307-2</t>
  </si>
  <si>
    <t>KW-2307-3</t>
  </si>
  <si>
    <t>KW-2308-2</t>
  </si>
  <si>
    <t>KW-2308-3</t>
  </si>
  <si>
    <t>KW-2309-2</t>
  </si>
  <si>
    <t>KW-2309-3</t>
  </si>
  <si>
    <t>KW-2401-2</t>
  </si>
  <si>
    <t>KW-2401-3</t>
  </si>
  <si>
    <t>KW-2402-2</t>
  </si>
  <si>
    <t>KW-2402-3</t>
  </si>
  <si>
    <t>KW-2403-2</t>
  </si>
  <si>
    <t>KW-2403-3</t>
  </si>
  <si>
    <t>KW-2404-2</t>
  </si>
  <si>
    <t>KW-2404-3</t>
  </si>
  <si>
    <t>KW-2405-2</t>
  </si>
  <si>
    <t>KW-2405-3</t>
  </si>
  <si>
    <t>KW-2406-2</t>
  </si>
  <si>
    <t>KW-2406-3</t>
  </si>
  <si>
    <t>KW-2407-2</t>
  </si>
  <si>
    <t>KW-2407-3</t>
  </si>
  <si>
    <t>KW-2408-2</t>
  </si>
  <si>
    <t>KW-2408-3</t>
  </si>
  <si>
    <t>KW-2409-2</t>
  </si>
  <si>
    <t>KW-2409-3</t>
  </si>
  <si>
    <t>KW-2410-2</t>
  </si>
  <si>
    <t>KW-2410-3</t>
  </si>
  <si>
    <t>KW-2501-2</t>
  </si>
  <si>
    <t>KW-2501-3</t>
  </si>
  <si>
    <t>KW-2502-2</t>
  </si>
  <si>
    <t>KW-2502-3</t>
  </si>
  <si>
    <t>KW-2503-2</t>
  </si>
  <si>
    <t>KW-2503-3</t>
  </si>
  <si>
    <t>KW-2504-2</t>
  </si>
  <si>
    <t>KW-2505-3</t>
  </si>
  <si>
    <t>KW-2504-3</t>
  </si>
  <si>
    <t>KW-2505-2</t>
  </si>
  <si>
    <t>KW-2506-2</t>
  </si>
  <si>
    <t>KW-2506-3</t>
  </si>
  <si>
    <t>KW-2507-2</t>
  </si>
  <si>
    <t>KW-2507-3</t>
  </si>
  <si>
    <t>KW-2508-2</t>
  </si>
  <si>
    <t>KW-2508-3</t>
  </si>
  <si>
    <t xml:space="preserve">total value </t>
  </si>
  <si>
    <t>quarter 1</t>
  </si>
  <si>
    <t>quarter 2</t>
  </si>
  <si>
    <t>quarter 3</t>
  </si>
  <si>
    <t>quarter 4</t>
  </si>
  <si>
    <t>Average share</t>
  </si>
  <si>
    <t>Jan</t>
  </si>
  <si>
    <t>Feb</t>
  </si>
  <si>
    <t>Mar</t>
  </si>
  <si>
    <t>Apr</t>
  </si>
  <si>
    <t>Jul</t>
  </si>
  <si>
    <t>Jun</t>
  </si>
  <si>
    <t>Aug</t>
  </si>
  <si>
    <t>Sep</t>
  </si>
  <si>
    <t>Oct</t>
  </si>
  <si>
    <t>Nov</t>
  </si>
  <si>
    <t>Dec</t>
  </si>
  <si>
    <t>May</t>
  </si>
  <si>
    <t>Share of Q1</t>
  </si>
  <si>
    <t>Share of Q2</t>
  </si>
  <si>
    <t>Share of Q3</t>
  </si>
  <si>
    <t>Share of Q4</t>
  </si>
  <si>
    <t>Monthly shares</t>
  </si>
  <si>
    <t>Quarterly shares</t>
  </si>
  <si>
    <t>total value (USD million)</t>
  </si>
  <si>
    <t>Export (China)</t>
  </si>
  <si>
    <t>Executive Meeting Table</t>
  </si>
  <si>
    <t>Customer G (Confidential)</t>
  </si>
  <si>
    <t>KW-2526-3</t>
  </si>
  <si>
    <t>Indoor bar in the restaurant</t>
  </si>
  <si>
    <t>Restaurant Interior</t>
  </si>
  <si>
    <t>KW-2526-2</t>
  </si>
  <si>
    <t>Metal frame glass cabinet</t>
  </si>
  <si>
    <t>Hotel Interior</t>
  </si>
  <si>
    <t>KW-2526-1</t>
  </si>
  <si>
    <t>Illuminated sign of the store</t>
  </si>
  <si>
    <t>Customer F (Confidential)</t>
  </si>
  <si>
    <t>KW-2525</t>
  </si>
  <si>
    <t>Customer E (Confidential)</t>
  </si>
  <si>
    <t>KW-2524</t>
  </si>
  <si>
    <t>Customer D (Confidential)</t>
  </si>
  <si>
    <t>KW-2523-3</t>
  </si>
  <si>
    <t>KW-2523-2</t>
  </si>
  <si>
    <t>Reception booth</t>
  </si>
  <si>
    <t>KW-2523-1</t>
  </si>
  <si>
    <t>Modern office interior renovation</t>
  </si>
  <si>
    <t>Customer C (Confidential)</t>
  </si>
  <si>
    <t>KW-2522</t>
  </si>
  <si>
    <t>Customer B (Confidential)</t>
  </si>
  <si>
    <t>KW-2521</t>
  </si>
  <si>
    <t>Customer A (Confidential)</t>
  </si>
  <si>
    <t>KW-2520-3</t>
  </si>
  <si>
    <t>KW-2520-2</t>
  </si>
  <si>
    <t>Store interior and display cabinet</t>
  </si>
  <si>
    <t>KW-2520-1</t>
  </si>
  <si>
    <t>Quantity</t>
  </si>
  <si>
    <t>SETS</t>
  </si>
  <si>
    <t>SET</t>
  </si>
  <si>
    <t>Ray dẫn hướng hai trục màu đen (có 1 thanh trượt)KWH/KWH-120-6-50/Thông số thanh trượt::100*8*L120mm/Thông số ray dẫn hướng:50*12.5*L450mm(18")/Chiều cao lắp đặt:22mm</t>
  </si>
  <si>
    <t>KWBT-007</t>
  </si>
  <si>
    <t xml:space="preserve"> Ray dẫn hướng hai trục màu đen (có 1 thanh trượt)/KWH/KWH-120-6-50/Thông số thanh trượt:100*8*L120mm/Thông số ray dẫn hướng:50*12.5*L420mm(17")/Chiều cao lắp đặt:22mm</t>
  </si>
  <si>
    <t>Supplier provide the stocks later than the deadline</t>
  </si>
  <si>
    <t>PCS</t>
  </si>
  <si>
    <t>Vòng cao su chữ O/Đường kính ngoài:11*3.1mm</t>
  </si>
  <si>
    <t>VN</t>
  </si>
  <si>
    <t>SQUARE METRES</t>
  </si>
  <si>
    <t>M2</t>
  </si>
  <si>
    <t>Màng phim PVB trong suốt/ROSIFOL/Specification:2440mm*1.52mm*125m/cuộn</t>
  </si>
  <si>
    <t>KWBT-037</t>
  </si>
  <si>
    <t>Suppliers are able to supply a half quantities of the requirement</t>
  </si>
  <si>
    <t>Màng phim PVB trong suốt TROSIFOL/Specification:2440mm*0.76mm*250m/ cuộn</t>
  </si>
  <si>
    <t>Vít đen đầu bằng/Specification:8*4*50</t>
  </si>
  <si>
    <t>Cuộn cột khí chống sốc/Specification:500mm*50MIC*50m/cuộn</t>
  </si>
  <si>
    <t>M</t>
  </si>
  <si>
    <t>Xốp EPE chữ L/Specification:70*70*10mm (1m/PCS)</t>
  </si>
  <si>
    <t>Màng pe foam/Specification:1000mmrộng*3mmdày*100m/cuộn</t>
  </si>
  <si>
    <t>màng pe foam/Specification:rộng 1000*dày 1mm*300 mét/cuộn</t>
  </si>
  <si>
    <t>Mút bảo vệ cạnh hình chữ U/Specification:dày 15mm*độ rộng lòng trong 35mm</t>
  </si>
  <si>
    <t>Supplier provide only a half of requirement</t>
  </si>
  <si>
    <t>Bìa cứng tổ ong/Specification:1200*2500*20mm</t>
  </si>
  <si>
    <t>Giấy carton 7 lớp/Specification:2540*1600mm</t>
  </si>
  <si>
    <t>Carton B=B/Specification:1780*2400mm ( tương ứng là 2 nâu 1 xéo tại Việt Nam)</t>
  </si>
  <si>
    <t>Cuộn bảo vệ (màu đen)/Đường kính ngoài 49mm, đường kính trong 36.8mm, đường kính lỗ mở 44mm, chiều cao 11.4mm</t>
  </si>
  <si>
    <t>METRES</t>
  </si>
  <si>
    <t>Dây 2 lõi không chống nhiễu sóng dòng 22AWG(đen+đỏ)</t>
  </si>
  <si>
    <t>KWBT-003-MTR</t>
  </si>
  <si>
    <t>Dây đèn LED mềm C754T/Specification:3200K、12V、XSY-54 bóng/M-68mm</t>
  </si>
  <si>
    <t>KWBT-002</t>
  </si>
  <si>
    <t>Kính pha lêSpecification: 2mm</t>
  </si>
  <si>
    <t>KWBT-068</t>
  </si>
  <si>
    <t>Supplier can not supply the quantities</t>
  </si>
  <si>
    <t>Kính pha lê/Specification:2440*3660*4mm</t>
  </si>
  <si>
    <t>Kính pha lê /Specification:2440*3660*5mm</t>
  </si>
  <si>
    <t>Kg</t>
  </si>
  <si>
    <t>Sơn trét chống ngã vàng Tường Hải R222/Specification:20Kg/thùng</t>
  </si>
  <si>
    <t>PIECES</t>
  </si>
  <si>
    <t>Khóa lắp đặt chữ phát sáng dễ lắp đặt H1621/Specification: 12mm*40mm，lỗ khoan 4.5mm, đầu côn ren 5 ly</t>
  </si>
  <si>
    <t>KWBT-051</t>
  </si>
  <si>
    <t>Nam châm ( mạ kẽm)/Specification:20*10*5mm</t>
  </si>
  <si>
    <t>Ốc cấy ( có vành)-mạ kẽm màu 57012/Specification:M6*13mm</t>
  </si>
  <si>
    <t>Ty ren (inox)/Specification:6mm</t>
  </si>
  <si>
    <t>Tắc kê sắt/Specification:M8*80mm</t>
  </si>
  <si>
    <t>Bulong đầu tròn chữa thập-mạ niken/Đường kính đầu 6.5mm/Specification:M4*10mm</t>
  </si>
  <si>
    <t>Bulong đầu bằng chữ thập-inox/Specification:M4*6mm</t>
  </si>
  <si>
    <t>Bulong đầu bằng chữ thập-inox/Specification:M6*20mm</t>
  </si>
  <si>
    <t>Vít đầu dẹt thép không gỉ / Vít Phillips đầu dẹt /Specification:M5*35mm</t>
  </si>
  <si>
    <t>Bulong đầu bằng chữ thập-inox/Specification:M5*20mm</t>
  </si>
  <si>
    <t>Bulong đầu bằng chữ thập-inox /Specification:M5*10mm</t>
  </si>
  <si>
    <t>Bulong đầu bằng chữ thập-inox/Specification:M4*8mm</t>
  </si>
  <si>
    <t>Bulong đầu bằng chữ thập-inox/ Specification:M4*12mm</t>
  </si>
  <si>
    <t>Bulong lục giác chìm đầu bằng (inox)/Specification:M3*6mm</t>
  </si>
  <si>
    <t>Vít ván sợi đầu dẹt chéo (thép không gỉ 304)/Đường kính đầu:9mm/Specification:5*25mm</t>
  </si>
  <si>
    <t>Vít cho ván ép đầu bằng chữ thập-inox/Specification:đường kính đầu: 6.5mm/3.5*16mm</t>
  </si>
  <si>
    <t>Vít cho ván ép đầu bằng chữ thập-inox/Specification:3.5*12mm</t>
  </si>
  <si>
    <t>Vít đầu bằng dùng cho ván ép(inox)/Đường kính đầu 7mm/Specification:4*20mm</t>
  </si>
  <si>
    <t>Vít đầu bằng dùng cho ván ép(inox)/Đường kính đầu 7mm/Specification:4*16</t>
  </si>
  <si>
    <t>Vít đầu bằng dùng cho ván ép(inox)/Đường kính đầu 7mm/Specification:4*30</t>
  </si>
  <si>
    <t>Chỉ nhựa dán biên PVC màu trắng Phương Khang 101sh/Specification:21*0.8*100000mm</t>
  </si>
  <si>
    <t>Tấm nhựa trong suốt/Specification:1220*2440*0.8mm</t>
  </si>
  <si>
    <t>Tấm acrylic-màu trắng sữa/Specification: 1220*2440*3mm</t>
  </si>
  <si>
    <t>Tấm pc nhám mờ một mặt/Specification:1220*2440*1mm</t>
  </si>
  <si>
    <t>Ván  phủ melamine 15mm/Carb-p2/màu trắng nhám S3003-1/Specification:1220*2440mm</t>
  </si>
  <si>
    <t>Ván phủ melamine 18mm/Carb-p2/màu trắng nhám S3003-1/Specification:1220*2440</t>
  </si>
  <si>
    <t>Ván  phủ melamine 12mm/Carb-p2/màu trắng nhám S3003-1/Specification:1220*2440</t>
  </si>
  <si>
    <t>Ván ép 5mm-E2/lớp mặt ngoài  :hai mặt không dán mặt/Specification:1220*2440(4.5mm trở lên）/độ ẩm：15độ trở lên, Ghi chú: Gói hàng chuyên dụng</t>
  </si>
  <si>
    <t>Ván ép 18mm-E2/lớp mặt ngoài  :hai mặt không dán/Specification:hai mặt không có veneer / đặc điểm kỹ thuật: 1220 * 2440 (đầy đủ 14,5mm trở lên) / độ ẩm: dưới 15 độ / Ghi chú: Gói hàng chuyên dụng</t>
  </si>
  <si>
    <t>Ván ép 15mm-E2/lớp mặt ngoài  :hai mặt không dán/Specification:hai mặt không có veneer / đặc điểm kỹ thuật: 1220 * 2440 (đầy đủ 14,5mm trở lên) / độ ẩm: dưới 15 độ / nhận xét: chu</t>
  </si>
  <si>
    <t>Ván ép 9m-E2/Lớp bề mặt: hai mặt không dán/Specification:1220*2440 (đạt 8.5mm trở lên)/độ ẩm：15 độ trở lên /chú ý: đóng gói chuyên dụng</t>
  </si>
  <si>
    <t>Ván ép 12mm Carb - P2/Specification:1220*2440</t>
  </si>
  <si>
    <t>Ván ép 25mm-E1/25mm BB/CC/Specification:1220*2440/Phòng cháy chữa cháy quốc gia B</t>
  </si>
  <si>
    <t>ĐÃ HẾT</t>
  </si>
  <si>
    <t>Ván ép 6mm Carrb-P2/Specification:1220*2440*6mm</t>
  </si>
  <si>
    <t>Nhôm định hình CHA-977/Specification:AL6063-T5/38*32mm/0.469Kg/M</t>
  </si>
  <si>
    <t>Nhôm định hình CHA-974/Specification:Chất liệu:AL6063-T5/26.3*26.3mm/0.953Kg/m</t>
  </si>
  <si>
    <t>Nhôm định hình CHA-973/Specification:Chất liệu:AL6063-T5/26.3*26.3mm/0.768Kg/m</t>
  </si>
  <si>
    <t>Nhôm định hình CHA-972/Specification:Chất liệu:AL6063-T5/26.3*26.3mm/0.742Kg/m</t>
  </si>
  <si>
    <t>Tấm nhôm 6061/Specification:1500*3000*4mm</t>
  </si>
  <si>
    <t>Tấm nhôm 1050/Specification:1220*2440*4mm</t>
  </si>
  <si>
    <t>Tấm nhôm 3003/Specification:1200*3000*1.5mm</t>
  </si>
  <si>
    <t>Tấm nhôm 6061/Specification:1250*2500*4mm</t>
  </si>
  <si>
    <t>KILO-GRAMMES</t>
  </si>
  <si>
    <t>Tấm nhôm 6061/Specification:1220*2440*2mm</t>
  </si>
  <si>
    <t>Tấm nhôm Hà Nam 3003/Specification:1500*3000*2mm</t>
  </si>
  <si>
    <t>Tấm nhôm Hà Nam 3003/Specification:1500*3000*1mm</t>
  </si>
  <si>
    <t>Tấm nhôm Hà Nam 3003/Specification:1500 * 3000 * 3mm</t>
  </si>
  <si>
    <t>Tấm nhôm 3003/Specification:1220*2440*12mm</t>
  </si>
  <si>
    <t>Thanh nhôm dẹt/Specification:50*20mm</t>
  </si>
  <si>
    <t>Thanh nhôm vuông/Specification:16*16mm</t>
  </si>
  <si>
    <t>Nhôm V/Specification:25*25*3mm</t>
  </si>
  <si>
    <t>Nhôm V/Specification:20*20*2mm*6m</t>
  </si>
  <si>
    <t>Tấm đồng H62/Specification:1000*2000*1.5mm*85.5poud/tấm</t>
  </si>
  <si>
    <t>KWBT-077-TAM</t>
  </si>
  <si>
    <t>Tấm sắt/Specification:1250*2500*6mm</t>
  </si>
  <si>
    <t>Tấm sắt/Specification:1250*2500*4mm</t>
  </si>
  <si>
    <t>Tấm sắt/Specification:1250*2500*3mm</t>
  </si>
  <si>
    <t>Tấm sắt mạ kẽm/Specification:1220*3000*1mm</t>
  </si>
  <si>
    <t>Tấm sắt(mạ kẽm)/Specification:1220*2440*3mm</t>
  </si>
  <si>
    <t>Sắt hộp vuông/Specification:100*50*5mm</t>
  </si>
  <si>
    <t>Ống sắt /Specification:60*30*3mm</t>
  </si>
  <si>
    <t>Ống sắt vuông /Specification:40*40*3mm</t>
  </si>
  <si>
    <t>Cuộn thép không gỉ 304Specification: 27*0.8mm</t>
  </si>
  <si>
    <t>Dải thép không gỉ(mặt công nghiệp) 304/Specification:rộng 33mm*dày 0.8mm</t>
  </si>
  <si>
    <t>Tấm inox (mặt công nghiệp)/Specification:1220*3050*3mm</t>
  </si>
  <si>
    <t>Tấm thép không gỉ/Specification:1220*3050*2mm</t>
  </si>
  <si>
    <t>Tấm inox (mặt công nghiệp)/Specification:1220*2440*10mm</t>
  </si>
  <si>
    <t>Tấm thép không gỉ /Specification:1220*2440*4mm</t>
  </si>
  <si>
    <t>Tấm thép không gỉ (mờ)/Specification:1220*3050*3mm</t>
  </si>
  <si>
    <t>Tấm thép không gỉ (mờ nhám) /Specification:1220*3050*2mm</t>
  </si>
  <si>
    <t>Tấm thép không gỉ ( mờ)/Specification:1200*3050*1.5mm</t>
  </si>
  <si>
    <t>Tấm inox/Specification:5mm</t>
  </si>
  <si>
    <t>Tấm thép không gỉ/Specification:1220*2440*4mm</t>
  </si>
  <si>
    <t>Ống tròn thép không gỉ 304/Specification: 70*2mm*6</t>
  </si>
  <si>
    <t>KWBT-027-TRON</t>
  </si>
  <si>
    <t>:Ống tròn thép không gỉ 304/Specification: 76*2mm*6</t>
  </si>
  <si>
    <t>Ống thép tròn không gỉ/Specification:đường kính 25*3mm</t>
  </si>
  <si>
    <t>Thanh thép dẹt không gỉ/ Specification:25*12mm</t>
  </si>
  <si>
    <t>TH-620001</t>
  </si>
  <si>
    <t>Thanh thép dẹt không gỉ/Specification:40*5mm</t>
  </si>
  <si>
    <t>Thanh thép dẹt/ Specification:6*12mm</t>
  </si>
  <si>
    <t>Thanh Inox/ Specification:đường kính 16mm</t>
  </si>
  <si>
    <t>Thanh inox tròn/Specification:quy cách đường kính 8mm</t>
  </si>
  <si>
    <t>Cây inox tròn/ Specification:đường kính 6mm*4m/cây</t>
  </si>
  <si>
    <t>Thanh thép không gỉ/ Specification:12*12mm</t>
  </si>
  <si>
    <t>M3</t>
  </si>
  <si>
    <t>Gỗ beech đỏ</t>
  </si>
  <si>
    <t>Issue</t>
  </si>
  <si>
    <t>MÃ HQ</t>
  </si>
  <si>
    <t>NVL Nội địa: 7 ngày
NVL Nhập khẩu: 14 ngày</t>
  </si>
  <si>
    <t>TOTAL</t>
  </si>
  <si>
    <t>Tủ kính khung kim loại</t>
  </si>
  <si>
    <t>Bảng hiệu phát sáng</t>
  </si>
  <si>
    <t>Quầy bar</t>
  </si>
  <si>
    <t>Quầy lễ tân</t>
  </si>
  <si>
    <t>Nội thất văn phòng</t>
  </si>
  <si>
    <t>Bàn Họp Cao Cấp</t>
  </si>
  <si>
    <t>Tủ trưng bày cửa hàng</t>
  </si>
  <si>
    <t>ĐƠN VỊ CHUẨN THEO TK/ HĐ</t>
  </si>
  <si>
    <t>UOM
ĐƠN VỊ</t>
  </si>
  <si>
    <t>DESC
MÔ TẢ</t>
  </si>
  <si>
    <t>Overseas</t>
  </si>
  <si>
    <t xml:space="preserve">Stock </t>
  </si>
  <si>
    <t>Materials</t>
  </si>
  <si>
    <t>Overseas/ Local</t>
  </si>
  <si>
    <t>Store interior and display cabinet (A)</t>
  </si>
  <si>
    <t>Illuminated sign of the store (A)</t>
  </si>
  <si>
    <t>Metal frame glass cabinet (A)</t>
  </si>
  <si>
    <t>Executive Meeting Table (B)</t>
  </si>
  <si>
    <t>Modern office interior renovation ( C )</t>
  </si>
  <si>
    <t>Reception booth (D)</t>
  </si>
  <si>
    <t>Metal frame glass cabinet (D)</t>
  </si>
  <si>
    <t>Executive Meeting Table (D)</t>
  </si>
  <si>
    <t>Indoor bar in the restaurant ( E )</t>
  </si>
  <si>
    <t>Illuminated sign of the store ( F )</t>
  </si>
  <si>
    <t>Metal frame glass cabinet ( G )</t>
  </si>
  <si>
    <t>Indoor bar in the restaurant ( G )</t>
  </si>
  <si>
    <t>Executive Meeting Table ( G )</t>
  </si>
  <si>
    <t>Supplier</t>
  </si>
  <si>
    <t>Name</t>
  </si>
  <si>
    <t>Criteria</t>
  </si>
  <si>
    <t>Average</t>
  </si>
  <si>
    <t xml:space="preserve">Materials </t>
  </si>
  <si>
    <t>HT Vistar</t>
  </si>
  <si>
    <t>Hòa Phát</t>
  </si>
  <si>
    <t>Oversea</t>
  </si>
  <si>
    <t>Mỹ Việt</t>
  </si>
  <si>
    <t>Price</t>
  </si>
  <si>
    <t>Quality</t>
  </si>
  <si>
    <t>Delivery</t>
  </si>
  <si>
    <t>Technological Capability</t>
  </si>
  <si>
    <t>Management Capability</t>
  </si>
  <si>
    <t>Jinjing (Group) Co., Ltd</t>
  </si>
  <si>
    <t>Qingdao Rich Glass Co., Ltd</t>
  </si>
  <si>
    <t>Qingdao Rexi Industries Co., Ltd.</t>
  </si>
  <si>
    <t>Kuraray</t>
  </si>
  <si>
    <t>Qingdao Globalstar Glass Technology Co., Ltd.</t>
  </si>
  <si>
    <t>Giấy Phú Vĩnh Phúc</t>
  </si>
  <si>
    <t>KOVIF</t>
  </si>
  <si>
    <t>Zibo Chico International Co.,Ltd.</t>
  </si>
  <si>
    <t>Guangzhou Guanhailou Building Materials Co.,ltd.</t>
  </si>
  <si>
    <t>GMORS Vietnam</t>
  </si>
  <si>
    <t>Jhao Yang Rubber (VN)</t>
  </si>
  <si>
    <t>Tay Ha Rubber</t>
  </si>
  <si>
    <t>Minh Anh Rubber</t>
  </si>
  <si>
    <t>Thép Nam Kim</t>
  </si>
  <si>
    <t>Thép Việt Nam</t>
  </si>
  <si>
    <t>Thép Hòa Bình</t>
  </si>
  <si>
    <t>Kartar</t>
  </si>
  <si>
    <t>Percentage of forecasting value in 2026</t>
  </si>
  <si>
    <t>total value of new orders in 2026</t>
  </si>
  <si>
    <t>Estimated days based on percentage.</t>
  </si>
  <si>
    <t>Daily demand of products</t>
  </si>
  <si>
    <t>Buffer days</t>
  </si>
  <si>
    <t>Safety stocks</t>
  </si>
  <si>
    <t>Ống tròn thép không gỉ 304/Specification: 76*2mm*6</t>
  </si>
  <si>
    <t>Ray dẫn hướng hai trục màu đen (có 1 thanh trượt)/KWH/KWH-120-6-50/Thông số thanh trượt:100*8*L120mm/Thông số ray dẫn hướng:50*12.5*L420mm(17")/Chiều cao lắp đặt:22mm</t>
  </si>
  <si>
    <t>Column1</t>
  </si>
  <si>
    <t>STT</t>
  </si>
  <si>
    <t>Need of A</t>
  </si>
  <si>
    <t>Need of B</t>
  </si>
  <si>
    <t>Before restock B</t>
  </si>
  <si>
    <t>After restock B</t>
  </si>
  <si>
    <t>Need of C</t>
  </si>
  <si>
    <t>Before restock C</t>
  </si>
  <si>
    <t>After restock C</t>
  </si>
  <si>
    <t>Need of D</t>
  </si>
  <si>
    <t>After restock D</t>
  </si>
  <si>
    <t>Need of E</t>
  </si>
  <si>
    <t>Before restock E</t>
  </si>
  <si>
    <t>After restock E</t>
  </si>
  <si>
    <t>Need of F</t>
  </si>
  <si>
    <t>Before restock F</t>
  </si>
  <si>
    <t>After restock F</t>
  </si>
  <si>
    <t>Need of G</t>
  </si>
  <si>
    <t>Before restock G</t>
  </si>
  <si>
    <t>After restock G</t>
  </si>
  <si>
    <t>Total reorders</t>
  </si>
  <si>
    <t>2</t>
  </si>
  <si>
    <t>5</t>
  </si>
  <si>
    <t>8</t>
  </si>
  <si>
    <t>20</t>
  </si>
  <si>
    <t>21</t>
  </si>
  <si>
    <t>Begin stocks</t>
  </si>
  <si>
    <t>MAT-001</t>
  </si>
  <si>
    <t>MAT-002</t>
  </si>
  <si>
    <t>MAT-003</t>
  </si>
  <si>
    <t>MAT-004</t>
  </si>
  <si>
    <t>MAT-005</t>
  </si>
  <si>
    <t>MAT-006</t>
  </si>
  <si>
    <t>MAT-007</t>
  </si>
  <si>
    <t>MAT-008</t>
  </si>
  <si>
    <t>MAT-009</t>
  </si>
  <si>
    <t>MAT-010</t>
  </si>
  <si>
    <t>MAT-011</t>
  </si>
  <si>
    <t>MAT-012</t>
  </si>
  <si>
    <t>MAT-013</t>
  </si>
  <si>
    <t>MAT-014</t>
  </si>
  <si>
    <t>MAT-015</t>
  </si>
  <si>
    <t>MAT-016</t>
  </si>
  <si>
    <t>MAT-017</t>
  </si>
  <si>
    <t>MAT-018</t>
  </si>
  <si>
    <t>MAT-019</t>
  </si>
  <si>
    <t>MAT-020</t>
  </si>
  <si>
    <t>MAT-021</t>
  </si>
  <si>
    <t>MAT-022</t>
  </si>
  <si>
    <t>MAT-023</t>
  </si>
  <si>
    <t>MAT-024</t>
  </si>
  <si>
    <t>MAT-025</t>
  </si>
  <si>
    <t>MAT-026</t>
  </si>
  <si>
    <t>MAT-027</t>
  </si>
  <si>
    <t>MAT-028</t>
  </si>
  <si>
    <t>MAT-029</t>
  </si>
  <si>
    <t>MAT-030</t>
  </si>
  <si>
    <t>MAT-031</t>
  </si>
  <si>
    <t>MAT-032</t>
  </si>
  <si>
    <t>MAT-033</t>
  </si>
  <si>
    <t>MAT-034</t>
  </si>
  <si>
    <t>MAT-035</t>
  </si>
  <si>
    <t>MAT-036</t>
  </si>
  <si>
    <t>MAT-037</t>
  </si>
  <si>
    <t>MAT-038</t>
  </si>
  <si>
    <t>MAT-039</t>
  </si>
  <si>
    <t>MAT-040</t>
  </si>
  <si>
    <t>MAT-041</t>
  </si>
  <si>
    <t>MAT-042</t>
  </si>
  <si>
    <t>MAT-043</t>
  </si>
  <si>
    <t>MAT-044</t>
  </si>
  <si>
    <t>MAT-045</t>
  </si>
  <si>
    <t>MAT-046</t>
  </si>
  <si>
    <t>MAT-047</t>
  </si>
  <si>
    <t>MAT-048</t>
  </si>
  <si>
    <t>MAT-049</t>
  </si>
  <si>
    <t>MAT-050</t>
  </si>
  <si>
    <t>MAT-051</t>
  </si>
  <si>
    <t>MAT-052</t>
  </si>
  <si>
    <t>MAT-053</t>
  </si>
  <si>
    <t>MAT-054</t>
  </si>
  <si>
    <t>MAT-055</t>
  </si>
  <si>
    <t>MAT-056</t>
  </si>
  <si>
    <t>MAT-057</t>
  </si>
  <si>
    <t>MAT-058</t>
  </si>
  <si>
    <t>MAT-059</t>
  </si>
  <si>
    <t>MAT-060</t>
  </si>
  <si>
    <t>MAT-061</t>
  </si>
  <si>
    <t>MAT-062</t>
  </si>
  <si>
    <t>MAT-063</t>
  </si>
  <si>
    <t>MAT-064</t>
  </si>
  <si>
    <t>MAT-065</t>
  </si>
  <si>
    <t>MAT-066</t>
  </si>
  <si>
    <t>MAT-067</t>
  </si>
  <si>
    <t>MAT-068</t>
  </si>
  <si>
    <t>MAT-069</t>
  </si>
  <si>
    <t>MAT-070</t>
  </si>
  <si>
    <t>MAT-071</t>
  </si>
  <si>
    <t>MAT-072</t>
  </si>
  <si>
    <t>MAT-073</t>
  </si>
  <si>
    <t>MAT-074</t>
  </si>
  <si>
    <t>MAT-075</t>
  </si>
  <si>
    <t>MAT-076</t>
  </si>
  <si>
    <t>MAT-077</t>
  </si>
  <si>
    <t>MAT-078</t>
  </si>
  <si>
    <t>MAT-079</t>
  </si>
  <si>
    <t>MAT-080</t>
  </si>
  <si>
    <t>MAT-081</t>
  </si>
  <si>
    <t>MAT-082</t>
  </si>
  <si>
    <t>MAT-083</t>
  </si>
  <si>
    <t>MAT-084</t>
  </si>
  <si>
    <t>MAT-085</t>
  </si>
  <si>
    <t>MAT-086</t>
  </si>
  <si>
    <t>MAT-087</t>
  </si>
  <si>
    <t>MAT-088</t>
  </si>
  <si>
    <t>MAT-089</t>
  </si>
  <si>
    <t>MAT-090</t>
  </si>
  <si>
    <t>MAT-091</t>
  </si>
  <si>
    <t>MAT-092</t>
  </si>
  <si>
    <t>MAT-093</t>
  </si>
  <si>
    <t>MAT-094</t>
  </si>
  <si>
    <t>MAT-095</t>
  </si>
  <si>
    <t>MAT-096</t>
  </si>
  <si>
    <t>MAT-097</t>
  </si>
  <si>
    <t>MAT-098</t>
  </si>
  <si>
    <t>MAT-099</t>
  </si>
  <si>
    <t>MAT-100</t>
  </si>
  <si>
    <t>MAT-101</t>
  </si>
  <si>
    <t>MAT-102</t>
  </si>
  <si>
    <t>MAT-103</t>
  </si>
  <si>
    <t>1.617</t>
  </si>
  <si>
    <t>24.8834</t>
  </si>
  <si>
    <t>13.476</t>
  </si>
  <si>
    <t>9.18</t>
  </si>
  <si>
    <t>29.67576</t>
  </si>
  <si>
    <t>42.8159</t>
  </si>
  <si>
    <t>0.72</t>
  </si>
  <si>
    <t>0.09</t>
  </si>
  <si>
    <t>0</t>
  </si>
  <si>
    <t>0.48</t>
  </si>
  <si>
    <t>Before restocks A</t>
  </si>
  <si>
    <t>After restocks A</t>
  </si>
  <si>
    <t>Before restock D</t>
  </si>
  <si>
    <t>Tấm thép không gỉ/Specification:1220*2440*4mm (cp)</t>
  </si>
  <si>
    <t>Vít đen đầu bằng/Specification:8*4*50 (cp)</t>
  </si>
  <si>
    <t>Vít đầu bằng dùng cho ván ép(inox)/Đường kính đầu 7mm/Specification:4*20mm (cp)</t>
  </si>
  <si>
    <t>Vít cho ván ép đầu bằng chữ thập-inox/Specification:3.5*12mm (cp)</t>
  </si>
  <si>
    <t>Tấm nhôm Hà Nam 3003/Specification:1500 * 3000 * 3mm (cp)</t>
  </si>
  <si>
    <t>Tấm nhôm Hà Nam 3003/Specification:1500*3000*2mm (cp)</t>
  </si>
  <si>
    <t>Nhôm định hình CHA-972/Specification:Chất liệu:AL6063-T5/26.3*26.3mm/0.742Kg/m (cp)</t>
  </si>
  <si>
    <t>Nhôm định hình CHA-977/Specification:AL6063-T5/38*32mm/0.469Kg/M (cp)</t>
  </si>
  <si>
    <t>Dải thép không gỉ(mặt công nghiệp) 304/Specification:rộng 33mm*dày 0.8mm (cp)</t>
  </si>
  <si>
    <t>Ván ép 5mm-E2/lớp mặt ngoài  :hai mặt không dán mặt/Specification:1220*2440(4.5mm trở lên）/độ ẩm：15độ trở lên, Ghi chú: Gói hàng chuyên dụng (cp)</t>
  </si>
  <si>
    <t>Mút bảo vệ cạnh hình chữ U/Specification:dày 15mm*độ rộng lòng trong 35mm (cp)</t>
  </si>
  <si>
    <t>Kính pha lê/Specification:2440*3660*4mm (cp)</t>
  </si>
  <si>
    <t>Ray dẫn hướng hai trục màu đen (có 1 thanh trượt)KWH/KWH-120-6-50/Thông số thanh trượt::100*8*L120mm/Thông số ray dẫn hướng:50*12.5*L450mm(18")/Chiều cao lắp đặt:22mm (cp)</t>
  </si>
  <si>
    <t>Chỉ nhựa dán biên PVC màu trắng Phương Khang 101sh/Specification:21*0.8*100000mm (cp)</t>
  </si>
  <si>
    <t>Giấy carton 7 lớp/Specification:2540*1600mm (cp)</t>
  </si>
  <si>
    <t>Nam châm ( mạ kẽm)/Specification:20*10*5mm (cp)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</si>
</sst>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_(* #,##0.000_);_(* \(#,##0.000\);_(* &quot;-&quot;??_);_(@_)"/>
    <numFmt numFmtId="166" formatCode="0.00_);[Red]\(0.00\)"/>
    <numFmt numFmtId="167" formatCode="0.0_);[Red]\(0.0\)"/>
    <numFmt numFmtId="168" formatCode="0_);[Red]\(0\)"/>
  </numFmts>
  <fonts count="16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theme="1"/>
      <name val="Calibri"/>
      <family val="2"/>
      <scheme val="minor"/>
    </font>
    <font>
      <sz val="13"/>
      <color theme="1"/>
      <name val="Times New Roman"/>
      <family val="1"/>
    </font>
    <font>
      <sz val="13"/>
      <name val="Times New Roman"/>
      <family val="1"/>
    </font>
    <font>
      <b/>
      <sz val="13"/>
      <color theme="1"/>
      <name val="Times New Roman"/>
      <family val="1"/>
    </font>
    <font>
      <b/>
      <sz val="18"/>
      <color theme="1"/>
      <name val="Times New Roman"/>
      <family val="1"/>
    </font>
    <font>
      <b/>
      <sz val="12"/>
      <color rgb="FFFF0000"/>
      <name val="Calibri"/>
      <family val="2"/>
      <scheme val="minor"/>
    </font>
    <font>
      <sz val="8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13"/>
      <color theme="0"/>
      <name val="Times New Roman"/>
      <family val="1"/>
    </font>
    <font>
      <sz val="13"/>
      <color theme="0"/>
      <name val="Times New Roman"/>
      <family val="1"/>
    </font>
  </fonts>
  <fills count="2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5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2" borderId="1" xfId="0" applyFill="1" applyBorder="1"/>
    <xf numFmtId="164" fontId="0" fillId="2" borderId="1" xfId="1" applyNumberFormat="1" applyFont="1" applyFill="1" applyBorder="1"/>
    <xf numFmtId="17" fontId="0" fillId="2" borderId="1" xfId="0" applyNumberFormat="1" applyFill="1" applyBorder="1"/>
    <xf numFmtId="0" fontId="0" fillId="3" borderId="1" xfId="0" applyFill="1" applyBorder="1"/>
    <xf numFmtId="164" fontId="0" fillId="3" borderId="1" xfId="1" applyNumberFormat="1" applyFont="1" applyFill="1" applyBorder="1"/>
    <xf numFmtId="17" fontId="0" fillId="3" borderId="1" xfId="0" applyNumberFormat="1" applyFill="1" applyBorder="1"/>
    <xf numFmtId="0" fontId="0" fillId="4" borderId="1" xfId="0" applyFill="1" applyBorder="1"/>
    <xf numFmtId="164" fontId="0" fillId="4" borderId="1" xfId="1" applyNumberFormat="1" applyFont="1" applyFill="1" applyBorder="1"/>
    <xf numFmtId="17" fontId="0" fillId="4" borderId="1" xfId="0" applyNumberFormat="1" applyFill="1" applyBorder="1"/>
    <xf numFmtId="0" fontId="0" fillId="5" borderId="1" xfId="0" applyFill="1" applyBorder="1"/>
    <xf numFmtId="164" fontId="0" fillId="5" borderId="1" xfId="1" applyNumberFormat="1" applyFont="1" applyFill="1" applyBorder="1"/>
    <xf numFmtId="17" fontId="0" fillId="5" borderId="1" xfId="0" applyNumberFormat="1" applyFill="1" applyBorder="1"/>
    <xf numFmtId="0" fontId="0" fillId="6" borderId="1" xfId="0" applyFill="1" applyBorder="1"/>
    <xf numFmtId="164" fontId="0" fillId="6" borderId="1" xfId="1" applyNumberFormat="1" applyFont="1" applyFill="1" applyBorder="1"/>
    <xf numFmtId="17" fontId="0" fillId="6" borderId="1" xfId="0" applyNumberFormat="1" applyFill="1" applyBorder="1"/>
    <xf numFmtId="0" fontId="0" fillId="7" borderId="1" xfId="0" applyFill="1" applyBorder="1"/>
    <xf numFmtId="164" fontId="0" fillId="7" borderId="1" xfId="1" applyNumberFormat="1" applyFont="1" applyFill="1" applyBorder="1"/>
    <xf numFmtId="17" fontId="0" fillId="7" borderId="1" xfId="0" applyNumberFormat="1" applyFill="1" applyBorder="1"/>
    <xf numFmtId="0" fontId="0" fillId="8" borderId="1" xfId="0" applyFill="1" applyBorder="1"/>
    <xf numFmtId="164" fontId="0" fillId="8" borderId="1" xfId="1" applyNumberFormat="1" applyFont="1" applyFill="1" applyBorder="1"/>
    <xf numFmtId="17" fontId="0" fillId="8" borderId="1" xfId="0" applyNumberFormat="1" applyFill="1" applyBorder="1"/>
    <xf numFmtId="0" fontId="0" fillId="9" borderId="1" xfId="0" applyFill="1" applyBorder="1"/>
    <xf numFmtId="164" fontId="0" fillId="9" borderId="1" xfId="1" applyNumberFormat="1" applyFont="1" applyFill="1" applyBorder="1"/>
    <xf numFmtId="17" fontId="0" fillId="9" borderId="1" xfId="0" applyNumberFormat="1" applyFill="1" applyBorder="1"/>
    <xf numFmtId="9" fontId="0" fillId="0" borderId="1" xfId="0" applyNumberFormat="1" applyBorder="1"/>
    <xf numFmtId="0" fontId="0" fillId="0" borderId="2" xfId="0" applyBorder="1"/>
    <xf numFmtId="10" fontId="0" fillId="0" borderId="1" xfId="2" applyNumberFormat="1" applyFont="1" applyBorder="1"/>
    <xf numFmtId="10" fontId="0" fillId="0" borderId="1" xfId="0" applyNumberFormat="1" applyBorder="1"/>
    <xf numFmtId="9" fontId="0" fillId="0" borderId="1" xfId="2" applyFont="1" applyBorder="1"/>
    <xf numFmtId="9" fontId="0" fillId="0" borderId="0" xfId="2" applyFont="1"/>
    <xf numFmtId="164" fontId="0" fillId="0" borderId="0" xfId="1" applyNumberFormat="1" applyFont="1"/>
    <xf numFmtId="17" fontId="0" fillId="0" borderId="1" xfId="0" applyNumberFormat="1" applyBorder="1"/>
    <xf numFmtId="164" fontId="0" fillId="0" borderId="1" xfId="1" applyNumberFormat="1" applyFont="1" applyBorder="1"/>
    <xf numFmtId="165" fontId="0" fillId="0" borderId="1" xfId="1" applyNumberFormat="1" applyFont="1" applyBorder="1"/>
    <xf numFmtId="0" fontId="0" fillId="10" borderId="1" xfId="0" applyFill="1" applyBorder="1"/>
    <xf numFmtId="0" fontId="5" fillId="0" borderId="1" xfId="0" applyFont="1" applyBorder="1" applyAlignment="1">
      <alignment horizontal="center" vertical="top"/>
    </xf>
    <xf numFmtId="0" fontId="6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164" fontId="0" fillId="0" borderId="1" xfId="1" applyNumberFormat="1" applyFont="1" applyFill="1" applyBorder="1" applyAlignment="1">
      <alignment wrapText="1"/>
    </xf>
    <xf numFmtId="49" fontId="7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49" fontId="8" fillId="0" borderId="1" xfId="0" quotePrefix="1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10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1" fillId="0" borderId="0" xfId="0" applyFont="1" applyAlignment="1">
      <alignment wrapText="1"/>
    </xf>
    <xf numFmtId="0" fontId="9" fillId="11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/>
    </xf>
    <xf numFmtId="164" fontId="8" fillId="0" borderId="1" xfId="0" applyNumberFormat="1" applyFont="1" applyBorder="1" applyAlignment="1">
      <alignment horizontal="center" vertical="center" wrapText="1"/>
    </xf>
    <xf numFmtId="0" fontId="9" fillId="13" borderId="1" xfId="0" applyFont="1" applyFill="1" applyBorder="1" applyAlignment="1">
      <alignment horizontal="center" vertical="center" wrapText="1"/>
    </xf>
    <xf numFmtId="0" fontId="9" fillId="1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horizontal="center" vertical="center" wrapText="1"/>
    </xf>
    <xf numFmtId="0" fontId="9" fillId="14" borderId="1" xfId="0" applyFont="1" applyFill="1" applyBorder="1" applyAlignment="1">
      <alignment horizontal="center" vertical="center"/>
    </xf>
    <xf numFmtId="0" fontId="9" fillId="15" borderId="1" xfId="0" applyFont="1" applyFill="1" applyBorder="1" applyAlignment="1">
      <alignment horizontal="center" vertical="center" wrapText="1"/>
    </xf>
    <xf numFmtId="0" fontId="9" fillId="1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2" fillId="0" borderId="0" xfId="0" applyFont="1"/>
    <xf numFmtId="0" fontId="8" fillId="16" borderId="1" xfId="0" applyFont="1" applyFill="1" applyBorder="1" applyAlignment="1">
      <alignment horizontal="left" vertical="center" wrapText="1"/>
    </xf>
    <xf numFmtId="0" fontId="8" fillId="0" borderId="8" xfId="0" applyFont="1" applyBorder="1" applyAlignment="1">
      <alignment horizontal="center" vertical="center" wrapText="1"/>
    </xf>
    <xf numFmtId="0" fontId="10" fillId="12" borderId="4" xfId="0" applyFont="1" applyFill="1" applyBorder="1" applyAlignment="1">
      <alignment horizontal="center" vertical="center" wrapText="1"/>
    </xf>
    <xf numFmtId="0" fontId="10" fillId="12" borderId="5" xfId="0" applyFont="1" applyFill="1" applyBorder="1" applyAlignment="1">
      <alignment vertical="center" wrapText="1"/>
    </xf>
    <xf numFmtId="0" fontId="9" fillId="13" borderId="5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14" borderId="5" xfId="0" applyFont="1" applyFill="1" applyBorder="1" applyAlignment="1">
      <alignment horizontal="center" vertical="center" wrapText="1"/>
    </xf>
    <xf numFmtId="0" fontId="9" fillId="15" borderId="5" xfId="0" applyFont="1" applyFill="1" applyBorder="1" applyAlignment="1">
      <alignment horizontal="center" vertical="center" wrapText="1"/>
    </xf>
    <xf numFmtId="0" fontId="9" fillId="5" borderId="5" xfId="0" applyFont="1" applyFill="1" applyBorder="1" applyAlignment="1">
      <alignment horizontal="center" vertical="center" wrapText="1"/>
    </xf>
    <xf numFmtId="0" fontId="9" fillId="11" borderId="5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0" fontId="9" fillId="17" borderId="5" xfId="0" applyFont="1" applyFill="1" applyBorder="1" applyAlignment="1">
      <alignment horizontal="center" vertical="center" wrapText="1"/>
    </xf>
    <xf numFmtId="0" fontId="9" fillId="17" borderId="6" xfId="0" applyFont="1" applyFill="1" applyBorder="1" applyAlignment="1">
      <alignment horizontal="center" vertical="center" wrapText="1"/>
    </xf>
    <xf numFmtId="0" fontId="8" fillId="0" borderId="8" xfId="0" applyFont="1" applyBorder="1" applyAlignment="1">
      <alignment horizontal="left" vertical="center" wrapText="1"/>
    </xf>
    <xf numFmtId="164" fontId="8" fillId="0" borderId="8" xfId="0" applyNumberFormat="1" applyFont="1" applyBorder="1" applyAlignment="1">
      <alignment horizontal="center" vertical="center" wrapText="1"/>
    </xf>
    <xf numFmtId="168" fontId="0" fillId="21" borderId="1" xfId="0" applyNumberFormat="1" applyFill="1" applyBorder="1" applyAlignment="1">
      <alignment vertical="center" wrapText="1"/>
    </xf>
    <xf numFmtId="168" fontId="0" fillId="20" borderId="1" xfId="0" applyNumberFormat="1" applyFill="1" applyBorder="1" applyAlignment="1">
      <alignment vertical="center" wrapText="1"/>
    </xf>
    <xf numFmtId="168" fontId="0" fillId="18" borderId="1" xfId="0" applyNumberFormat="1" applyFill="1" applyBorder="1" applyAlignment="1">
      <alignment vertical="center" wrapText="1"/>
    </xf>
    <xf numFmtId="168" fontId="0" fillId="23" borderId="1" xfId="0" applyNumberFormat="1" applyFill="1" applyBorder="1" applyAlignment="1">
      <alignment vertical="center" wrapText="1"/>
    </xf>
    <xf numFmtId="168" fontId="0" fillId="4" borderId="1" xfId="0" applyNumberFormat="1" applyFill="1" applyBorder="1" applyAlignment="1">
      <alignment vertical="center" wrapText="1"/>
    </xf>
    <xf numFmtId="168" fontId="0" fillId="19" borderId="1" xfId="0" applyNumberFormat="1" applyFill="1" applyBorder="1" applyAlignment="1">
      <alignment vertical="center" wrapText="1"/>
    </xf>
    <xf numFmtId="168" fontId="0" fillId="9" borderId="1" xfId="0" applyNumberFormat="1" applyFill="1" applyBorder="1" applyAlignment="1">
      <alignment vertical="center" wrapText="1"/>
    </xf>
    <xf numFmtId="168" fontId="0" fillId="6" borderId="1" xfId="0" applyNumberFormat="1" applyFill="1" applyBorder="1" applyAlignment="1">
      <alignment vertical="center" wrapText="1"/>
    </xf>
    <xf numFmtId="168" fontId="0" fillId="11" borderId="1" xfId="0" applyNumberFormat="1" applyFill="1" applyBorder="1" applyAlignment="1">
      <alignment vertical="center" wrapText="1"/>
    </xf>
    <xf numFmtId="168" fontId="0" fillId="10" borderId="1" xfId="0" applyNumberFormat="1" applyFill="1" applyBorder="1" applyAlignment="1">
      <alignment vertical="center" wrapText="1"/>
    </xf>
    <xf numFmtId="49" fontId="8" fillId="0" borderId="3" xfId="0" quotePrefix="1" applyNumberFormat="1" applyFont="1" applyBorder="1" applyAlignment="1">
      <alignment horizontal="center" vertical="center" wrapText="1"/>
    </xf>
    <xf numFmtId="1" fontId="7" fillId="0" borderId="1" xfId="0" applyNumberFormat="1" applyFont="1" applyBorder="1" applyAlignment="1">
      <alignment horizontal="center" vertical="center" wrapText="1"/>
    </xf>
    <xf numFmtId="1" fontId="7" fillId="0" borderId="2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49" fontId="8" fillId="0" borderId="7" xfId="0" quotePrefix="1" applyNumberFormat="1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49" fontId="7" fillId="0" borderId="8" xfId="0" applyNumberFormat="1" applyFont="1" applyBorder="1" applyAlignment="1">
      <alignment horizontal="center" vertical="center" wrapText="1"/>
    </xf>
    <xf numFmtId="0" fontId="9" fillId="11" borderId="8" xfId="0" applyFont="1" applyFill="1" applyBorder="1" applyAlignment="1">
      <alignment horizontal="center" vertical="center" wrapText="1"/>
    </xf>
    <xf numFmtId="1" fontId="7" fillId="0" borderId="8" xfId="0" applyNumberFormat="1" applyFont="1" applyBorder="1" applyAlignment="1">
      <alignment horizontal="center" vertical="center" wrapText="1"/>
    </xf>
    <xf numFmtId="1" fontId="7" fillId="0" borderId="9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wrapText="1"/>
    </xf>
    <xf numFmtId="0" fontId="0" fillId="10" borderId="1" xfId="0" applyFill="1" applyBorder="1" applyAlignment="1">
      <alignment wrapText="1"/>
    </xf>
    <xf numFmtId="164" fontId="0" fillId="0" borderId="1" xfId="1" applyNumberFormat="1" applyFont="1" applyBorder="1" applyAlignment="1">
      <alignment wrapText="1"/>
    </xf>
    <xf numFmtId="165" fontId="0" fillId="0" borderId="1" xfId="1" applyNumberFormat="1" applyFont="1" applyBorder="1" applyAlignment="1">
      <alignment wrapText="1"/>
    </xf>
    <xf numFmtId="17" fontId="0" fillId="0" borderId="1" xfId="0" applyNumberFormat="1" applyBorder="1" applyAlignment="1">
      <alignment wrapText="1"/>
    </xf>
    <xf numFmtId="0" fontId="0" fillId="10" borderId="0" xfId="0" applyFill="1" applyAlignment="1">
      <alignment wrapText="1"/>
    </xf>
    <xf numFmtId="165" fontId="0" fillId="0" borderId="0" xfId="0" applyNumberFormat="1" applyAlignment="1">
      <alignment wrapText="1"/>
    </xf>
    <xf numFmtId="9" fontId="0" fillId="0" borderId="0" xfId="2" applyFont="1" applyAlignment="1">
      <alignment wrapText="1"/>
    </xf>
    <xf numFmtId="1" fontId="0" fillId="0" borderId="0" xfId="0" applyNumberFormat="1" applyAlignment="1">
      <alignment wrapText="1"/>
    </xf>
    <xf numFmtId="166" fontId="10" fillId="12" borderId="4" xfId="0" applyNumberFormat="1" applyFont="1" applyFill="1" applyBorder="1" applyAlignment="1">
      <alignment horizontal="center" vertical="center" wrapText="1"/>
    </xf>
    <xf numFmtId="166" fontId="10" fillId="12" borderId="5" xfId="0" applyNumberFormat="1" applyFont="1" applyFill="1" applyBorder="1" applyAlignment="1">
      <alignment vertical="center" wrapText="1"/>
    </xf>
    <xf numFmtId="166" fontId="9" fillId="3" borderId="5" xfId="0" applyNumberFormat="1" applyFont="1" applyFill="1" applyBorder="1" applyAlignment="1">
      <alignment horizontal="center" vertical="center" wrapText="1"/>
    </xf>
    <xf numFmtId="166" fontId="9" fillId="14" borderId="5" xfId="0" applyNumberFormat="1" applyFont="1" applyFill="1" applyBorder="1" applyAlignment="1">
      <alignment horizontal="center" vertical="center" wrapText="1"/>
    </xf>
    <xf numFmtId="166" fontId="9" fillId="15" borderId="5" xfId="0" applyNumberFormat="1" applyFont="1" applyFill="1" applyBorder="1" applyAlignment="1">
      <alignment horizontal="center" vertical="center" wrapText="1"/>
    </xf>
    <xf numFmtId="166" fontId="9" fillId="5" borderId="5" xfId="0" applyNumberFormat="1" applyFont="1" applyFill="1" applyBorder="1" applyAlignment="1">
      <alignment horizontal="center" vertical="center" wrapText="1"/>
    </xf>
    <xf numFmtId="166" fontId="9" fillId="11" borderId="5" xfId="0" applyNumberFormat="1" applyFont="1" applyFill="1" applyBorder="1" applyAlignment="1">
      <alignment horizontal="center" vertical="center" wrapText="1"/>
    </xf>
    <xf numFmtId="166" fontId="9" fillId="4" borderId="5" xfId="0" applyNumberFormat="1" applyFont="1" applyFill="1" applyBorder="1" applyAlignment="1">
      <alignment horizontal="center" vertical="center" wrapText="1"/>
    </xf>
    <xf numFmtId="166" fontId="11" fillId="0" borderId="0" xfId="0" applyNumberFormat="1" applyFont="1" applyAlignment="1">
      <alignment wrapText="1"/>
    </xf>
    <xf numFmtId="167" fontId="8" fillId="0" borderId="3" xfId="0" quotePrefix="1" applyNumberFormat="1" applyFont="1" applyBorder="1" applyAlignment="1">
      <alignment horizontal="center" vertical="center"/>
    </xf>
    <xf numFmtId="167" fontId="7" fillId="0" borderId="1" xfId="0" applyNumberFormat="1" applyFont="1" applyBorder="1" applyAlignment="1">
      <alignment horizontal="center" vertical="center"/>
    </xf>
    <xf numFmtId="167" fontId="8" fillId="0" borderId="1" xfId="0" applyNumberFormat="1" applyFont="1" applyBorder="1" applyAlignment="1">
      <alignment horizontal="center" vertical="center" wrapText="1"/>
    </xf>
    <xf numFmtId="167" fontId="6" fillId="0" borderId="0" xfId="0" applyNumberFormat="1" applyFont="1"/>
    <xf numFmtId="167" fontId="8" fillId="0" borderId="1" xfId="0" applyNumberFormat="1" applyFont="1" applyBorder="1" applyAlignment="1">
      <alignment horizontal="center" vertical="center"/>
    </xf>
    <xf numFmtId="167" fontId="8" fillId="0" borderId="7" xfId="0" quotePrefix="1" applyNumberFormat="1" applyFont="1" applyBorder="1" applyAlignment="1">
      <alignment horizontal="center" vertical="center"/>
    </xf>
    <xf numFmtId="167" fontId="7" fillId="0" borderId="8" xfId="0" applyNumberFormat="1" applyFont="1" applyBorder="1" applyAlignment="1">
      <alignment horizontal="center" vertical="center"/>
    </xf>
    <xf numFmtId="167" fontId="8" fillId="0" borderId="8" xfId="0" applyNumberFormat="1" applyFont="1" applyBorder="1" applyAlignment="1">
      <alignment horizontal="center" vertical="center" wrapText="1"/>
    </xf>
    <xf numFmtId="168" fontId="13" fillId="22" borderId="1" xfId="0" applyNumberFormat="1" applyFont="1" applyFill="1" applyBorder="1" applyAlignment="1">
      <alignment vertical="center" wrapText="1"/>
    </xf>
    <xf numFmtId="167" fontId="15" fillId="22" borderId="1" xfId="0" applyNumberFormat="1" applyFont="1" applyFill="1" applyBorder="1" applyAlignment="1">
      <alignment horizontal="left" vertical="center" wrapText="1"/>
    </xf>
    <xf numFmtId="166" fontId="14" fillId="11" borderId="5" xfId="0" applyNumberFormat="1" applyFont="1" applyFill="1" applyBorder="1" applyAlignment="1">
      <alignment horizontal="center" vertical="center" wrapText="1"/>
    </xf>
    <xf numFmtId="167" fontId="15" fillId="0" borderId="1" xfId="0" applyNumberFormat="1" applyFont="1" applyBorder="1" applyAlignment="1">
      <alignment horizontal="center" vertical="center"/>
    </xf>
    <xf numFmtId="0" fontId="13" fillId="0" borderId="0" xfId="0" applyFont="1"/>
    <xf numFmtId="0" fontId="0" fillId="10" borderId="0" xfId="0" applyFill="1"/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10" fillId="12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99">
    <dxf>
      <fill>
        <patternFill patternType="solid">
          <fgColor rgb="FF948A54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numFmt numFmtId="1" formatCode="0"/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numFmt numFmtId="1" formatCode="0"/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numFmt numFmtId="1" formatCode="0"/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fill>
        <patternFill patternType="solid">
          <fgColor indexed="64"/>
          <bgColor theme="8" tint="0.5999938962981048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Times New Roman"/>
        <family val="1"/>
        <scheme val="none"/>
      </font>
      <numFmt numFmtId="164" formatCode="_(* #,##0_);_(* \(#,##0\);_(* &quot;-&quot;??_);_(@_)"/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Times New Roman"/>
        <family val="1"/>
        <scheme val="none"/>
      </font>
      <numFmt numFmtId="164" formatCode="_(* #,##0_);_(* \(#,##0\);_(* &quot;-&quot;??_);_(@_)"/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Times New Roman"/>
        <family val="1"/>
        <scheme val="none"/>
      </font>
      <numFmt numFmtId="164" formatCode="_(* #,##0_);_(* \(#,##0\);_(* &quot;-&quot;??_);_(@_)"/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Times New Roman"/>
        <family val="1"/>
        <scheme val="none"/>
      </font>
      <numFmt numFmtId="164" formatCode="_(* #,##0_);_(* \(#,##0\);_(* &quot;-&quot;??_);_(@_)"/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Times New Roman"/>
        <family val="1"/>
        <scheme val="none"/>
      </font>
      <numFmt numFmtId="164" formatCode="_(* #,##0_);_(* \(#,##0\);_(* &quot;-&quot;??_);_(@_)"/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Times New Roman"/>
        <family val="1"/>
        <scheme val="none"/>
      </font>
      <numFmt numFmtId="164" formatCode="_(* #,##0_);_(* \(#,##0\);_(* &quot;-&quot;??_);_(@_)"/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Times New Roman"/>
        <family val="1"/>
        <scheme val="none"/>
      </font>
      <numFmt numFmtId="164" formatCode="_(* #,##0_);_(* \(#,##0\);_(* &quot;-&quot;??_);_(@_)"/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Times New Roman"/>
        <family val="1"/>
        <scheme val="none"/>
      </font>
      <numFmt numFmtId="164" formatCode="_(* #,##0_);_(* \(#,##0\);_(* &quot;-&quot;??_);_(@_)"/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Times New Roman"/>
        <family val="1"/>
        <scheme val="none"/>
      </font>
      <numFmt numFmtId="164" formatCode="_(* #,##0_);_(* \(#,##0\);_(* &quot;-&quot;??_);_(@_)"/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Times New Roman"/>
        <family val="1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textRotation="0" wrapText="1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fill>
        <patternFill patternType="solid">
          <fgColor indexed="64"/>
          <bgColor theme="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7" formatCode="0.0_);[Red]\(0.0\)"/>
      <border outline="0">
        <left style="thin">
          <color auto="1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0"/>
        <name val="Times New Roman"/>
        <family val="1"/>
        <scheme val="none"/>
      </font>
      <numFmt numFmtId="167" formatCode="0.0_);[Red]\(0.0\)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Times New Roman"/>
        <family val="1"/>
        <scheme val="none"/>
      </font>
      <numFmt numFmtId="167" formatCode="0.0_);[Red]\(0.0\)"/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Times New Roman"/>
        <family val="1"/>
        <scheme val="none"/>
      </font>
      <numFmt numFmtId="167" formatCode="0.0_);[Red]\(0.0\)"/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Times New Roman"/>
        <family val="1"/>
        <scheme val="none"/>
      </font>
      <numFmt numFmtId="167" formatCode="0.0_);[Red]\(0.0\)"/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Times New Roman"/>
        <family val="1"/>
        <scheme val="none"/>
      </font>
      <numFmt numFmtId="167" formatCode="0.0_);[Red]\(0.0\)"/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Times New Roman"/>
        <family val="1"/>
        <scheme val="none"/>
      </font>
      <numFmt numFmtId="167" formatCode="0.0_);[Red]\(0.0\)"/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Times New Roman"/>
        <family val="1"/>
        <scheme val="none"/>
      </font>
      <numFmt numFmtId="167" formatCode="0.0_);[Red]\(0.0\)"/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Times New Roman"/>
        <family val="1"/>
        <scheme val="none"/>
      </font>
      <numFmt numFmtId="167" formatCode="0.0_);[Red]\(0.0\)"/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Times New Roman"/>
        <family val="1"/>
        <scheme val="none"/>
      </font>
      <numFmt numFmtId="167" formatCode="0.0_);[Red]\(0.0\)"/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Times New Roman"/>
        <family val="1"/>
        <scheme val="none"/>
      </font>
      <numFmt numFmtId="167" formatCode="0.0_);[Red]\(0.0\)"/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Times New Roman"/>
        <family val="1"/>
        <scheme val="none"/>
      </font>
      <numFmt numFmtId="167" formatCode="0.0_);[Red]\(0.0\)"/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Times New Roman"/>
        <family val="1"/>
        <scheme val="none"/>
      </font>
      <numFmt numFmtId="167" formatCode="0.0_);[Red]\(0.0\)"/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Times New Roman"/>
        <family val="1"/>
        <scheme val="none"/>
      </font>
      <numFmt numFmtId="167" formatCode="0.0_);[Red]\(0.0\)"/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Times New Roman"/>
        <family val="1"/>
        <scheme val="none"/>
      </font>
      <numFmt numFmtId="167" formatCode="0.0_);[Red]\(0.0\)"/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Times New Roman"/>
        <family val="1"/>
        <scheme val="none"/>
      </font>
      <numFmt numFmtId="167" formatCode="0.0_);[Red]\(0.0\)"/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Times New Roman"/>
        <family val="1"/>
        <scheme val="none"/>
      </font>
      <numFmt numFmtId="167" formatCode="0.0_);[Red]\(0.0\)"/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Times New Roman"/>
        <family val="1"/>
        <scheme val="none"/>
      </font>
      <numFmt numFmtId="167" formatCode="0.0_);[Red]\(0.0\)"/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Times New Roman"/>
        <family val="1"/>
        <scheme val="none"/>
      </font>
      <numFmt numFmtId="167" formatCode="0.0_);[Red]\(0.0\)"/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Times New Roman"/>
        <family val="1"/>
        <scheme val="none"/>
      </font>
      <numFmt numFmtId="167" formatCode="0.0_);[Red]\(0.0\)"/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numFmt numFmtId="167" formatCode="0.0_);[Red]\(0.0\)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numFmt numFmtId="167" formatCode="0.0_);[Red]\(0.0\)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numFmt numFmtId="167" formatCode="0.0_);[Red]\(0.0\)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numFmt numFmtId="167" formatCode="0.0_);[Red]\(0.0\)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numFmt numFmtId="167" formatCode="0.0_);[Red]\(0.0\)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numFmt numFmtId="167" formatCode="0.0_);[Red]\(0.0\)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Times New Roman"/>
        <family val="1"/>
        <scheme val="none"/>
      </font>
      <numFmt numFmtId="167" formatCode="0.0_);[Red]\(0.0\)"/>
      <alignment horizontal="left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Times New Roman"/>
        <family val="1"/>
        <scheme val="none"/>
      </font>
      <numFmt numFmtId="167" formatCode="0.0_);[Red]\(0.0\)"/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7" formatCode="0.0_);[Red]\(0.0\)"/>
    </dxf>
    <dxf>
      <numFmt numFmtId="166" formatCode="0.00_);[Red]\(0.00\)"/>
    </dxf>
  </dxfs>
  <tableStyles count="0" defaultTableStyle="TableStyleMedium9" defaultPivotStyle="PivotStyleLight16"/>
  <colors>
    <mruColors>
      <color rgb="FFFF71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OneDrive\Desktop\sclm%20479\BOM.xlsx" TargetMode="External"/><Relationship Id="rId1" Type="http://schemas.openxmlformats.org/officeDocument/2006/relationships/externalLinkPath" Target="file:///C:\Users\ADMIN\OneDrive\Desktop\sclm%20479\BO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M"/>
      <sheetName val="Inventory level"/>
    </sheetNames>
    <sheetDataSet>
      <sheetData sheetId="0">
        <row r="2">
          <cell r="B2" t="str">
            <v>DESC
MÔ TẢ</v>
          </cell>
          <cell r="C2" t="str">
            <v>UOM
ĐƠN VỊ</v>
          </cell>
          <cell r="D2" t="str">
            <v>ĐƠN VỊ CHUẨN THEO TK/ HĐ</v>
          </cell>
        </row>
        <row r="3">
          <cell r="B3"/>
          <cell r="C3"/>
          <cell r="D3"/>
        </row>
        <row r="4">
          <cell r="B4" t="str">
            <v>Gỗ beech đỏ</v>
          </cell>
          <cell r="C4" t="str">
            <v>M3</v>
          </cell>
          <cell r="D4"/>
        </row>
        <row r="5">
          <cell r="B5" t="str">
            <v>Thanh thép không gỉ/ Specification:12*12mm</v>
          </cell>
          <cell r="C5" t="str">
            <v>M</v>
          </cell>
          <cell r="D5"/>
        </row>
        <row r="6">
          <cell r="B6" t="str">
            <v>Cây inox tròn/ Specification:đường kính 6mm*4m/cây</v>
          </cell>
          <cell r="C6" t="str">
            <v>M</v>
          </cell>
          <cell r="D6"/>
        </row>
        <row r="7">
          <cell r="B7" t="str">
            <v>Thanh inox tròn/Specification:quy cách đường kính 8mm</v>
          </cell>
          <cell r="C7" t="str">
            <v>M</v>
          </cell>
          <cell r="D7"/>
        </row>
        <row r="8">
          <cell r="B8" t="str">
            <v>Thanh Inox/ Specification:đường kính 16mm</v>
          </cell>
          <cell r="C8" t="str">
            <v>M</v>
          </cell>
          <cell r="D8"/>
        </row>
        <row r="9">
          <cell r="B9" t="str">
            <v>Thanh thép dẹt/ Specification:6*12mm</v>
          </cell>
          <cell r="C9" t="str">
            <v>M</v>
          </cell>
          <cell r="D9"/>
        </row>
        <row r="10">
          <cell r="B10" t="str">
            <v>Thanh thép dẹt không gỉ/Specification:40*5mm</v>
          </cell>
          <cell r="C10" t="str">
            <v>M</v>
          </cell>
          <cell r="D10"/>
        </row>
        <row r="11">
          <cell r="B11" t="str">
            <v>Thanh thép dẹt không gỉ/ Specification:25*12mm</v>
          </cell>
          <cell r="C11" t="str">
            <v>M</v>
          </cell>
          <cell r="D11" t="str">
            <v>KILO-GRAMMES</v>
          </cell>
        </row>
        <row r="12">
          <cell r="B12" t="str">
            <v>Ống thép tròn không gỉ/Specification:đường kính 25*3mm</v>
          </cell>
          <cell r="C12" t="str">
            <v>M</v>
          </cell>
          <cell r="D12" t="str">
            <v>METRES</v>
          </cell>
        </row>
        <row r="13">
          <cell r="B13" t="str">
            <v>:Ống tròn thép không gỉ 304/Specification: 76*2mm*6</v>
          </cell>
          <cell r="C13" t="str">
            <v>M</v>
          </cell>
          <cell r="D13"/>
        </row>
        <row r="14">
          <cell r="B14" t="str">
            <v>Ống tròn thép không gỉ 304/Specification: 70*2mm*6</v>
          </cell>
          <cell r="C14" t="str">
            <v>M</v>
          </cell>
          <cell r="D14" t="str">
            <v>METRES</v>
          </cell>
        </row>
        <row r="15">
          <cell r="B15" t="str">
            <v>Tấm thép không gỉ/Specification:1220*2440*4mm</v>
          </cell>
          <cell r="C15" t="str">
            <v>PCS</v>
          </cell>
          <cell r="D15"/>
        </row>
        <row r="16">
          <cell r="B16" t="str">
            <v>Tấm inox/Specification:5mm</v>
          </cell>
          <cell r="C16" t="str">
            <v>PCS</v>
          </cell>
          <cell r="D16"/>
        </row>
        <row r="17">
          <cell r="B17" t="str">
            <v>Tấm thép không gỉ ( mờ)/Specification:1200*3050*1.5mm</v>
          </cell>
          <cell r="C17" t="str">
            <v>PCS</v>
          </cell>
          <cell r="D17"/>
        </row>
        <row r="18">
          <cell r="B18" t="str">
            <v>Tấm thép không gỉ (mờ nhám) /Specification:1220*3050*2mm</v>
          </cell>
          <cell r="C18" t="str">
            <v>PCS</v>
          </cell>
          <cell r="D18"/>
        </row>
        <row r="19">
          <cell r="B19" t="str">
            <v>Tấm thép không gỉ (mờ)/Specification:1220*3050*3mm</v>
          </cell>
          <cell r="C19" t="str">
            <v>PCS</v>
          </cell>
          <cell r="D19"/>
        </row>
        <row r="20">
          <cell r="B20" t="str">
            <v>Tấm thép không gỉ /Specification:1220*2440*4mm</v>
          </cell>
          <cell r="C20" t="str">
            <v>PCS</v>
          </cell>
          <cell r="D20"/>
        </row>
        <row r="21">
          <cell r="B21" t="str">
            <v>Tấm inox (mặt công nghiệp)/Specification:1220*2440*10mm</v>
          </cell>
          <cell r="C21" t="str">
            <v>PCS</v>
          </cell>
          <cell r="D21"/>
        </row>
        <row r="22">
          <cell r="B22" t="str">
            <v>Tấm thép không gỉ/Specification:1220*3050*2mm</v>
          </cell>
          <cell r="C22" t="str">
            <v>PCS</v>
          </cell>
          <cell r="D22"/>
        </row>
        <row r="23">
          <cell r="B23" t="str">
            <v>Tấm inox (mặt công nghiệp)/Specification:1220*3050*3mm</v>
          </cell>
          <cell r="C23" t="str">
            <v>PCS</v>
          </cell>
          <cell r="D23"/>
        </row>
        <row r="24">
          <cell r="B24" t="str">
            <v>Dải thép không gỉ(mặt công nghiệp) 304/Specification:rộng 33mm*dày 0.8mm</v>
          </cell>
          <cell r="C24" t="str">
            <v>M</v>
          </cell>
          <cell r="D24"/>
        </row>
        <row r="25">
          <cell r="B25" t="str">
            <v>Cuộn thép không gỉ 304Specification: 27*0.8mm</v>
          </cell>
          <cell r="C25" t="str">
            <v>M</v>
          </cell>
          <cell r="D25"/>
        </row>
        <row r="26">
          <cell r="B26" t="str">
            <v>Ống sắt vuông /Specification:40*40*3mm</v>
          </cell>
          <cell r="C26" t="str">
            <v>M</v>
          </cell>
          <cell r="D26"/>
        </row>
        <row r="27">
          <cell r="B27" t="str">
            <v>Ống sắt /Specification:60*30*3mm</v>
          </cell>
          <cell r="C27" t="str">
            <v>M</v>
          </cell>
          <cell r="D27"/>
        </row>
        <row r="28">
          <cell r="B28" t="str">
            <v>Sắt hộp vuông/Specification:100*50*5mm</v>
          </cell>
          <cell r="C28" t="str">
            <v>M</v>
          </cell>
          <cell r="D28"/>
        </row>
        <row r="29">
          <cell r="B29" t="str">
            <v>Tấm sắt(mạ kẽm)/Specification:1220*2440*3mm</v>
          </cell>
          <cell r="C29" t="str">
            <v>PCS</v>
          </cell>
          <cell r="D29"/>
        </row>
        <row r="30">
          <cell r="B30" t="str">
            <v>Tấm sắt mạ kẽm/Specification:1220*3000*1mm</v>
          </cell>
          <cell r="C30" t="str">
            <v>PCS</v>
          </cell>
          <cell r="D30"/>
        </row>
        <row r="31">
          <cell r="B31" t="str">
            <v>Tấm sắt/Specification:1250*2500*3mm</v>
          </cell>
          <cell r="C31" t="str">
            <v>PCS</v>
          </cell>
          <cell r="D31"/>
        </row>
        <row r="32">
          <cell r="B32" t="str">
            <v>Tấm sắt/Specification:1250*2500*4mm</v>
          </cell>
          <cell r="C32" t="str">
            <v>PCS</v>
          </cell>
          <cell r="D32"/>
        </row>
        <row r="33">
          <cell r="B33" t="str">
            <v>Tấm sắt/Specification:1250*2500*6mm</v>
          </cell>
          <cell r="C33" t="str">
            <v>PCS</v>
          </cell>
          <cell r="D33"/>
        </row>
        <row r="34">
          <cell r="B34" t="str">
            <v>Tấm đồng H62/Specification:1000*2000*1.5mm*85.5poud/tấm</v>
          </cell>
          <cell r="C34" t="str">
            <v>PCS</v>
          </cell>
          <cell r="D34" t="str">
            <v>PIECES</v>
          </cell>
        </row>
        <row r="35">
          <cell r="B35" t="str">
            <v>Nhôm V/Specification:20*20*2mm*6m</v>
          </cell>
          <cell r="C35" t="str">
            <v>M</v>
          </cell>
          <cell r="D35"/>
        </row>
        <row r="36">
          <cell r="B36" t="str">
            <v>Nhôm V/Specification:25*25*3mm</v>
          </cell>
          <cell r="C36" t="str">
            <v>M</v>
          </cell>
          <cell r="D36"/>
        </row>
        <row r="37">
          <cell r="B37" t="str">
            <v>Thanh nhôm vuông/Specification:16*16mm</v>
          </cell>
          <cell r="C37" t="str">
            <v>M</v>
          </cell>
          <cell r="D37"/>
        </row>
        <row r="38">
          <cell r="B38" t="str">
            <v>Thanh nhôm dẹt/Specification:50*20mm</v>
          </cell>
          <cell r="C38" t="str">
            <v>M</v>
          </cell>
          <cell r="D38"/>
        </row>
        <row r="39">
          <cell r="B39" t="str">
            <v>Tấm nhôm 3003/Specification:1220*2440*12mm</v>
          </cell>
          <cell r="C39" t="str">
            <v>PCS</v>
          </cell>
          <cell r="D39"/>
        </row>
        <row r="40">
          <cell r="B40" t="str">
            <v>Tấm nhôm Hà Nam 3003/Specification:1500 * 3000 * 3mm</v>
          </cell>
          <cell r="C40" t="str">
            <v>PCS</v>
          </cell>
          <cell r="D40"/>
        </row>
        <row r="41">
          <cell r="B41" t="str">
            <v>Tấm nhôm Hà Nam 3003/Specification:1500*3000*1mm</v>
          </cell>
          <cell r="C41" t="str">
            <v>PCS</v>
          </cell>
          <cell r="D41" t="str">
            <v>KILO-GRAMMES</v>
          </cell>
        </row>
        <row r="42">
          <cell r="B42" t="str">
            <v>Tấm nhôm Hà Nam 3003/Specification:1500*3000*2mm</v>
          </cell>
          <cell r="C42" t="str">
            <v>PCS</v>
          </cell>
          <cell r="D42"/>
        </row>
        <row r="43">
          <cell r="B43" t="str">
            <v>Tấm nhôm 6061/Specification:1220*2440*2mm</v>
          </cell>
          <cell r="C43" t="str">
            <v>PCS</v>
          </cell>
          <cell r="D43" t="str">
            <v>KILO-GRAMMES</v>
          </cell>
        </row>
        <row r="44">
          <cell r="B44" t="str">
            <v>Tấm nhôm 6061/Specification:1250*2500*4mm</v>
          </cell>
          <cell r="C44" t="str">
            <v>PCS</v>
          </cell>
          <cell r="D44"/>
        </row>
        <row r="45">
          <cell r="B45" t="str">
            <v>Tấm nhôm 3003/Specification:1200*3000*1.5mm</v>
          </cell>
          <cell r="C45" t="str">
            <v>PCS</v>
          </cell>
          <cell r="D45"/>
        </row>
        <row r="46">
          <cell r="B46" t="str">
            <v>Tấm nhôm 1050/Specification:1220*2440*4mm</v>
          </cell>
          <cell r="C46" t="str">
            <v>PCS</v>
          </cell>
          <cell r="D46"/>
        </row>
        <row r="47">
          <cell r="B47" t="str">
            <v>Tấm nhôm 6061/Specification:1500*3000*4mm</v>
          </cell>
          <cell r="C47" t="str">
            <v>PCS</v>
          </cell>
          <cell r="D47"/>
        </row>
        <row r="48">
          <cell r="B48" t="str">
            <v>Nhôm định hình CHA-972/Specification:Chất liệu:AL6063-T5/26.3*26.3mm/0.742Kg/m</v>
          </cell>
          <cell r="C48" t="str">
            <v>M</v>
          </cell>
          <cell r="D48"/>
        </row>
        <row r="49">
          <cell r="B49" t="str">
            <v>Nhôm định hình CHA-973/Specification:Chất liệu:AL6063-T5/26.3*26.3mm/0.768Kg/m</v>
          </cell>
          <cell r="C49" t="str">
            <v>M</v>
          </cell>
          <cell r="D49"/>
        </row>
        <row r="50">
          <cell r="B50" t="str">
            <v>Nhôm định hình CHA-974/Specification:Chất liệu:AL6063-T5/26.3*26.3mm/0.953Kg/m</v>
          </cell>
          <cell r="C50" t="str">
            <v>M</v>
          </cell>
          <cell r="D50"/>
        </row>
        <row r="51">
          <cell r="B51" t="str">
            <v>Nhôm định hình CHA-977/Specification:AL6063-T5/38*32mm/0.469Kg/M</v>
          </cell>
          <cell r="C51" t="str">
            <v>M</v>
          </cell>
          <cell r="D51"/>
        </row>
        <row r="52">
          <cell r="B52" t="str">
            <v>Ván ép 6mm Carrb-P2/Specification:1220*2440*6mm</v>
          </cell>
          <cell r="C52" t="str">
            <v>PCS</v>
          </cell>
          <cell r="D52"/>
        </row>
        <row r="53">
          <cell r="B53" t="str">
            <v>Ván ép 25mm-E1/25mm BB/CC/Specification:1220*2440/Phòng cháy chữa cháy quốc gia B</v>
          </cell>
          <cell r="C53" t="str">
            <v>PCS</v>
          </cell>
          <cell r="D53" t="str">
            <v>PIECES</v>
          </cell>
        </row>
        <row r="54">
          <cell r="B54" t="str">
            <v>Ván ép 12mm Carb - P2/Specification:1220*2440</v>
          </cell>
          <cell r="C54" t="str">
            <v>PCS</v>
          </cell>
          <cell r="D54"/>
        </row>
        <row r="55">
          <cell r="B55" t="str">
            <v>Ván ép 9m-E2/Lớp bề mặt: hai mặt không dán/Specification:1220*2440 (đạt 8.5mm trở lên)/độ ẩm：15 độ trở lên /chú ý: đóng gói chuyên dụng</v>
          </cell>
          <cell r="C55" t="str">
            <v>PCS</v>
          </cell>
          <cell r="D55"/>
        </row>
        <row r="56">
          <cell r="B56" t="str">
            <v>Ván ép 15mm-E2/lớp mặt ngoài  :hai mặt không dán/Specification:hai mặt không có veneer / đặc điểm kỹ thuật: 1220 * 2440 (đầy đủ 14,5mm trở lên) / độ ẩm: dưới 15 độ / nhận xét: chu</v>
          </cell>
          <cell r="C56" t="str">
            <v>PCS</v>
          </cell>
          <cell r="D56"/>
        </row>
        <row r="57">
          <cell r="B57" t="str">
            <v>Ván ép 18mm-E2/lớp mặt ngoài  :hai mặt không dán/Specification:hai mặt không có veneer / đặc điểm kỹ thuật: 1220 * 2440 (đầy đủ 14,5mm trở lên) / độ ẩm: dưới 15 độ / Ghi chú: Gói hàng chuyên dụng</v>
          </cell>
          <cell r="C57" t="str">
            <v>PCS</v>
          </cell>
          <cell r="D57"/>
        </row>
        <row r="58">
          <cell r="B58" t="str">
            <v>Ván ép 5mm-E2/lớp mặt ngoài  :hai mặt không dán mặt/Specification:1220*2440(4.5mm trở lên）/độ ẩm：15độ trở lên, Ghi chú: Gói hàng chuyên dụng</v>
          </cell>
          <cell r="C58" t="str">
            <v>PCS</v>
          </cell>
          <cell r="D58"/>
        </row>
        <row r="59">
          <cell r="B59" t="str">
            <v>Ván  phủ melamine 12mm/Carb-p2/màu trắng nhám S3003-1/Specification:1220*2440</v>
          </cell>
          <cell r="C59" t="str">
            <v>PCS</v>
          </cell>
          <cell r="D59"/>
        </row>
        <row r="60">
          <cell r="B60" t="str">
            <v>Ván phủ melamine 18mm/Carb-p2/màu trắng nhám S3003-1/Specification:1220*2440</v>
          </cell>
          <cell r="C60" t="str">
            <v>PCS</v>
          </cell>
          <cell r="D60"/>
        </row>
        <row r="61">
          <cell r="B61" t="str">
            <v>Ván  phủ melamine 15mm/Carb-p2/màu trắng nhám S3003-1/Specification:1220*2440mm</v>
          </cell>
          <cell r="C61" t="str">
            <v>PCS</v>
          </cell>
          <cell r="D61"/>
        </row>
        <row r="62">
          <cell r="B62" t="str">
            <v>Tấm pc nhám mờ một mặt/Specification:1220*2440*1mm</v>
          </cell>
          <cell r="C62" t="str">
            <v>PCS</v>
          </cell>
          <cell r="D62"/>
        </row>
        <row r="63">
          <cell r="B63" t="str">
            <v>Tấm acrylic-màu trắng sữa/Specification: 1220*2440*3mm</v>
          </cell>
          <cell r="C63" t="str">
            <v>PCS</v>
          </cell>
          <cell r="D63"/>
        </row>
        <row r="64">
          <cell r="B64" t="str">
            <v>Tấm nhựa trong suốt/Specification:1220*2440*0.8mm</v>
          </cell>
          <cell r="C64" t="str">
            <v>PCS</v>
          </cell>
          <cell r="D64"/>
        </row>
        <row r="65">
          <cell r="B65" t="str">
            <v>Chỉ nhựa dán biên PVC màu trắng Phương Khang 101sh/Specification:21*0.8*100000mm</v>
          </cell>
          <cell r="C65" t="str">
            <v>M</v>
          </cell>
          <cell r="D65"/>
        </row>
        <row r="66">
          <cell r="B66" t="str">
            <v>Vít đầu bằng dùng cho ván ép(inox)/Đường kính đầu 7mm/Specification:4*30</v>
          </cell>
          <cell r="C66" t="str">
            <v>PCS</v>
          </cell>
          <cell r="D66"/>
        </row>
        <row r="67">
          <cell r="B67" t="str">
            <v>Vít đầu bằng dùng cho ván ép(inox)/Đường kính đầu 7mm/Specification:4*16</v>
          </cell>
          <cell r="C67" t="str">
            <v>PCS</v>
          </cell>
          <cell r="D67"/>
        </row>
        <row r="68">
          <cell r="B68" t="str">
            <v>Vít đầu bằng dùng cho ván ép(inox)/Đường kính đầu 7mm/Specification:4*20mm</v>
          </cell>
          <cell r="C68" t="str">
            <v>PCS</v>
          </cell>
          <cell r="D68"/>
        </row>
        <row r="69">
          <cell r="B69" t="str">
            <v>Vít cho ván ép đầu bằng chữ thập-inox/Specification:3.5*12mm</v>
          </cell>
          <cell r="C69" t="str">
            <v>PCS</v>
          </cell>
          <cell r="D69"/>
        </row>
        <row r="70">
          <cell r="B70" t="str">
            <v>Vít cho ván ép đầu bằng chữ thập-inox/Specification:đường kính đầu: 6.5mm/3.5*16mm</v>
          </cell>
          <cell r="C70" t="str">
            <v>PCS</v>
          </cell>
          <cell r="D70"/>
        </row>
        <row r="71">
          <cell r="B71" t="str">
            <v>Vít ván sợi đầu dẹt chéo (thép không gỉ 304)/Đường kính đầu:9mm/Specification:5*25mm</v>
          </cell>
          <cell r="C71" t="str">
            <v>PCS</v>
          </cell>
          <cell r="D71"/>
        </row>
        <row r="72">
          <cell r="B72" t="str">
            <v>Bulong lục giác chìm đầu bằng (inox)/Specification:M3*6mm</v>
          </cell>
          <cell r="C72" t="str">
            <v>PCS</v>
          </cell>
          <cell r="D72"/>
        </row>
        <row r="73">
          <cell r="B73" t="str">
            <v>Bulong đầu bằng chữ thập-inox/ Specification:M4*12mm</v>
          </cell>
          <cell r="C73" t="str">
            <v>PCS</v>
          </cell>
          <cell r="D73"/>
        </row>
        <row r="74">
          <cell r="B74" t="str">
            <v>Bulong đầu bằng chữ thập-inox/Specification:M4*8mm</v>
          </cell>
          <cell r="C74" t="str">
            <v>PCS</v>
          </cell>
          <cell r="D74"/>
        </row>
        <row r="75">
          <cell r="B75" t="str">
            <v>Bulong đầu bằng chữ thập-inox /Specification:M5*10mm</v>
          </cell>
          <cell r="C75" t="str">
            <v>PCS</v>
          </cell>
          <cell r="D75"/>
        </row>
        <row r="76">
          <cell r="B76" t="str">
            <v>Bulong đầu bằng chữ thập-inox/Specification:M5*20mm</v>
          </cell>
          <cell r="C76" t="str">
            <v>PCS</v>
          </cell>
          <cell r="D76"/>
        </row>
        <row r="77">
          <cell r="B77" t="str">
            <v>Vít đầu dẹt thép không gỉ / Vít Phillips đầu dẹt /Specification:M5*35mm</v>
          </cell>
          <cell r="C77" t="str">
            <v>PCS</v>
          </cell>
          <cell r="D77"/>
        </row>
        <row r="78">
          <cell r="B78" t="str">
            <v>Bulong đầu bằng chữ thập-inox/Specification:M6*20mm</v>
          </cell>
          <cell r="C78" t="str">
            <v>PCS</v>
          </cell>
          <cell r="D78"/>
        </row>
        <row r="79">
          <cell r="B79" t="str">
            <v>Bulong đầu bằng chữ thập-inox/Specification:M4*6mm</v>
          </cell>
          <cell r="C79" t="str">
            <v>PCS</v>
          </cell>
          <cell r="D79"/>
        </row>
        <row r="80">
          <cell r="B80" t="str">
            <v>Bulong đầu tròn chữa thập-mạ niken/Đường kính đầu 6.5mm/Specification:M4*10mm</v>
          </cell>
          <cell r="C80" t="str">
            <v>PCS</v>
          </cell>
          <cell r="D80"/>
        </row>
        <row r="81">
          <cell r="B81" t="str">
            <v>Tắc kê sắt/Specification:M8*80mm</v>
          </cell>
          <cell r="C81" t="str">
            <v>PCS</v>
          </cell>
          <cell r="D81"/>
        </row>
        <row r="82">
          <cell r="B82" t="str">
            <v>Ty ren (inox)/Specification:6mm</v>
          </cell>
          <cell r="C82" t="str">
            <v>M</v>
          </cell>
          <cell r="D82"/>
        </row>
        <row r="83">
          <cell r="B83" t="str">
            <v>Ốc cấy ( có vành)-mạ kẽm màu 57012/Specification:M6*13mm</v>
          </cell>
          <cell r="C83" t="str">
            <v>PCS</v>
          </cell>
          <cell r="D83"/>
        </row>
        <row r="84">
          <cell r="B84" t="str">
            <v>Nam châm ( mạ kẽm)/Specification:20*10*5mm</v>
          </cell>
          <cell r="C84" t="str">
            <v>PCS</v>
          </cell>
          <cell r="D84"/>
        </row>
        <row r="85">
          <cell r="B85" t="str">
            <v>Khóa lắp đặt chữ phát sáng dễ lắp đặt H1621/Specification: 12mm*40mm，lỗ khoan 4.5mm, đầu côn ren 5 ly</v>
          </cell>
          <cell r="C85" t="str">
            <v>PCS</v>
          </cell>
          <cell r="D85" t="str">
            <v>PIECES</v>
          </cell>
        </row>
        <row r="86">
          <cell r="B86" t="str">
            <v>Sơn trét chống ngã vàng Tường Hải R222/Specification:20Kg/thùng</v>
          </cell>
          <cell r="C86" t="str">
            <v>Kg</v>
          </cell>
          <cell r="D86"/>
        </row>
        <row r="87">
          <cell r="B87" t="str">
            <v>Kính pha lê /Specification:2440*3660*5mm</v>
          </cell>
          <cell r="C87" t="str">
            <v>M2</v>
          </cell>
          <cell r="D87" t="str">
            <v>SQUARE METRES</v>
          </cell>
        </row>
        <row r="88">
          <cell r="B88" t="str">
            <v>Kính pha lê/Specification:2440*3660*4mm</v>
          </cell>
          <cell r="C88" t="str">
            <v>M2</v>
          </cell>
          <cell r="D88" t="str">
            <v>SQUARE METRES</v>
          </cell>
        </row>
        <row r="89">
          <cell r="B89" t="str">
            <v>Kính pha lêSpecification: 2mm</v>
          </cell>
          <cell r="C89" t="str">
            <v>M2</v>
          </cell>
          <cell r="D89" t="str">
            <v>SQUARE METRES</v>
          </cell>
        </row>
        <row r="90">
          <cell r="B90" t="str">
            <v>Dây đèn LED mềm C754T/Specification:3200K、12V、XSY-54 bóng/M-68mm</v>
          </cell>
          <cell r="C90" t="str">
            <v>M</v>
          </cell>
          <cell r="D90" t="str">
            <v>METRES</v>
          </cell>
        </row>
        <row r="91">
          <cell r="B91" t="str">
            <v>Dây 2 lõi không chống nhiễu sóng dòng 22AWG(đen+đỏ)</v>
          </cell>
          <cell r="C91" t="str">
            <v>M</v>
          </cell>
          <cell r="D91" t="str">
            <v>METRES</v>
          </cell>
        </row>
        <row r="92">
          <cell r="B92" t="str">
            <v>Cuộn bảo vệ (màu đen)/Đường kính ngoài 49mm, đường kính trong 36.8mm, đường kính lỗ mở 44mm, chiều cao 11.4mm</v>
          </cell>
          <cell r="C92" t="str">
            <v>PCS</v>
          </cell>
          <cell r="D92"/>
        </row>
        <row r="93">
          <cell r="B93" t="str">
            <v>Carton B=B/Specification:1780*2400mm ( tương ứng là 2 nâu 1 xéo tại Việt Nam)</v>
          </cell>
          <cell r="C93" t="str">
            <v>PCS</v>
          </cell>
          <cell r="D93"/>
        </row>
        <row r="94">
          <cell r="B94" t="str">
            <v>Giấy carton 7 lớp/Specification:2540*1600mm</v>
          </cell>
          <cell r="C94" t="str">
            <v>PCS</v>
          </cell>
          <cell r="D94"/>
        </row>
        <row r="95">
          <cell r="B95" t="str">
            <v>Bìa cứng tổ ong/Specification:1200*2500*20mm</v>
          </cell>
          <cell r="C95" t="str">
            <v>PCS</v>
          </cell>
          <cell r="D95"/>
        </row>
        <row r="96">
          <cell r="B96" t="str">
            <v>Mút bảo vệ cạnh hình chữ U/Specification:dày 15mm*độ rộng lòng trong 35mm</v>
          </cell>
          <cell r="C96" t="str">
            <v>M</v>
          </cell>
          <cell r="D96"/>
        </row>
        <row r="97">
          <cell r="B97" t="str">
            <v>màng pe foam/Specification:rộng 1000*dày 1mm*300 mét/cuộn</v>
          </cell>
          <cell r="C97" t="str">
            <v>PCS</v>
          </cell>
          <cell r="D97"/>
        </row>
        <row r="98">
          <cell r="B98" t="str">
            <v>Màng pe foam/Specification:1000mmrộng*3mmdày*100m/cuộn</v>
          </cell>
          <cell r="C98" t="str">
            <v>PCS</v>
          </cell>
          <cell r="D98"/>
        </row>
        <row r="99">
          <cell r="B99" t="str">
            <v>Xốp EPE chữ L/Specification:70*70*10mm (1m/PCS)</v>
          </cell>
          <cell r="C99" t="str">
            <v>M</v>
          </cell>
          <cell r="D99"/>
        </row>
        <row r="100">
          <cell r="B100" t="str">
            <v>Cuộn cột khí chống sốc/Specification:500mm*50MIC*50m/cuộn</v>
          </cell>
          <cell r="C100" t="str">
            <v>PCS</v>
          </cell>
          <cell r="D100"/>
        </row>
        <row r="101">
          <cell r="B101" t="str">
            <v>Vít đen đầu bằng/Specification:8*4*50</v>
          </cell>
          <cell r="C101" t="str">
            <v>PCS</v>
          </cell>
          <cell r="D101"/>
        </row>
        <row r="102">
          <cell r="B102" t="str">
            <v>Màng phim PVB trong suốt TROSIFOL/Specification:2440mm*0.76mm*250m/ cuộn</v>
          </cell>
          <cell r="C102" t="str">
            <v>M2</v>
          </cell>
          <cell r="D102" t="str">
            <v>SQUARE METRES</v>
          </cell>
        </row>
        <row r="103">
          <cell r="B103" t="str">
            <v>Màng phim PVB trong suốt/ROSIFOL/Specification:2440mm*1.52mm*125m/cuộn</v>
          </cell>
          <cell r="C103" t="str">
            <v>M2</v>
          </cell>
          <cell r="D103" t="str">
            <v>SQUARE METRES</v>
          </cell>
        </row>
        <row r="104">
          <cell r="B104" t="str">
            <v>Vòng cao su chữ O/Đường kính ngoài:11*3.1mm</v>
          </cell>
          <cell r="C104" t="str">
            <v>PCS</v>
          </cell>
          <cell r="D104"/>
        </row>
      </sheetData>
      <sheetData sheetId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2EF7BBD-24DE-40BE-A393-4970BE283993}" name="Table3" displayName="Table3" ref="A1:AB104" totalsRowShown="0" headerRowDxfId="98" dataDxfId="97" tableBorderDxfId="96">
  <autoFilter ref="A1:AB104" xr:uid="{A2EF7BBD-24DE-40BE-A393-4970BE283993}">
    <filterColumn colId="1">
      <colorFilter dxfId="0"/>
    </filterColumn>
  </autoFilter>
  <sortState xmlns:xlrd2="http://schemas.microsoft.com/office/spreadsheetml/2017/richdata2" ref="A13:AB101">
    <sortCondition descending="1" ref="AA1:AA104"/>
  </sortState>
  <tableColumns count="28">
    <tableColumn id="1" xr3:uid="{EA44E178-9C0D-4A41-803E-4AB00C1BD238}" name="STT" dataDxfId="95"/>
    <tableColumn id="2" xr3:uid="{C9EEB759-2A0F-4A54-886D-BED508842D4B}" name="DESC_x000a_MÔ TẢ" dataDxfId="94"/>
    <tableColumn id="3" xr3:uid="{33ABD696-BAF3-4830-B355-C9788D24EACD}" name="UOM_x000a_ĐƠN VỊ" dataDxfId="93"/>
    <tableColumn id="4" xr3:uid="{34BA1191-37B2-49A6-BE17-4BDE92FA93ED}" name="ĐƠN VỊ CHUẨN THEO TK/ HĐ" dataDxfId="92"/>
    <tableColumn id="27" xr3:uid="{B60E5087-6BFB-4157-B91A-4C82E84F3CDE}" name="Begin stocks" dataDxfId="91"/>
    <tableColumn id="21" xr3:uid="{EB436215-23FD-4B6A-8EE7-9C036BE89597}" name="Need of A" dataDxfId="90"/>
    <tableColumn id="29" xr3:uid="{6FA8B86E-EF15-413D-9370-AD6E811FB177}" name="Before restocks A" dataDxfId="89">
      <calculatedColumnFormula>Table3[[#This Row],[Begin stocks]]-Table3[[#This Row],[Need of A]]</calculatedColumnFormula>
    </tableColumn>
    <tableColumn id="30" xr3:uid="{E3DEEA14-0FF1-4B78-A2B2-FE302CA6F44F}" name="After restocks A" dataDxfId="88">
      <calculatedColumnFormula>IF(Table3[[#This Row],[Before restocks A]]&lt;0, 0, Table3[[#This Row],[Before restocks A]])</calculatedColumnFormula>
    </tableColumn>
    <tableColumn id="8" xr3:uid="{FC68D360-1675-4C9E-890C-CEEAC3583C3F}" name="Need of B" dataDxfId="87"/>
    <tableColumn id="31" xr3:uid="{33CEB6DF-58D2-49F3-AEFC-741E846CE266}" name="Before restock B" dataDxfId="86">
      <calculatedColumnFormula>Table3[[#This Row],[After restocks A]]-Table3[[#This Row],[Need of B]]</calculatedColumnFormula>
    </tableColumn>
    <tableColumn id="32" xr3:uid="{C2FA634C-C8D2-426D-8E0A-1D232A7D9B0F}" name="After restock B" dataDxfId="85">
      <calculatedColumnFormula>IF(Table3[[#This Row],[Before restock B]]&lt;0,0,Table3[[#This Row],[Before restock B]])</calculatedColumnFormula>
    </tableColumn>
    <tableColumn id="9" xr3:uid="{FBF37DBB-17B1-44EB-99B4-194DDC004DD6}" name="Need of C" dataDxfId="84"/>
    <tableColumn id="33" xr3:uid="{D44B4222-D3D0-4FF1-81C0-54973A896F4D}" name="Before restock C" dataDxfId="83">
      <calculatedColumnFormula>Table3[[#This Row],[After restock B]]-Table3[[#This Row],[Need of C]]</calculatedColumnFormula>
    </tableColumn>
    <tableColumn id="34" xr3:uid="{8498828D-5B54-422C-8AC1-F1A924F5EE48}" name="After restock C" dataDxfId="82">
      <calculatedColumnFormula>IF(Table3[[#This Row],[Before restock C]]&lt;0,0,Table3[[#This Row],[Before restock C]])</calculatedColumnFormula>
    </tableColumn>
    <tableColumn id="23" xr3:uid="{40653FAE-6616-4A05-8D41-4D933D22BE25}" name="Need of D" dataDxfId="81"/>
    <tableColumn id="35" xr3:uid="{4A0FAA3E-8AE2-434B-B976-197F063A6F25}" name="Before restock D" dataDxfId="80">
      <calculatedColumnFormula>Table3[[#This Row],[After restock C]]-Table3[[#This Row],[Need of D]]</calculatedColumnFormula>
    </tableColumn>
    <tableColumn id="36" xr3:uid="{89D86920-D756-4C66-9EB1-D614B26C10F4}" name="After restock D" dataDxfId="79">
      <calculatedColumnFormula>IF(Table3[[#This Row],[Before restock D]]&lt;0,0,Table3[[#This Row],[Before restock D]])</calculatedColumnFormula>
    </tableColumn>
    <tableColumn id="13" xr3:uid="{FCE6148F-BBF0-4A8B-8438-674B3DC3E399}" name="Need of E" dataDxfId="78"/>
    <tableColumn id="37" xr3:uid="{3DDCAAA8-AA1C-4198-8D5B-36C79DCAA214}" name="Before restock E" dataDxfId="77">
      <calculatedColumnFormula>Table3[[#This Row],[After restock D]]-Table3[[#This Row],[Need of E]]</calculatedColumnFormula>
    </tableColumn>
    <tableColumn id="38" xr3:uid="{D099A763-30D7-40BE-A60E-6CED215229CA}" name="After restock E" dataDxfId="76">
      <calculatedColumnFormula>IF(Table3[[#This Row],[Before restock E]]&lt;0,0,Table3[[#This Row],[Before restock E]])</calculatedColumnFormula>
    </tableColumn>
    <tableColumn id="14" xr3:uid="{68748965-E41A-46EC-91B0-6C74E4E730C6}" name="Need of F" dataDxfId="75"/>
    <tableColumn id="39" xr3:uid="{0157ADB1-5AEE-4586-A449-9EB726AAFB0C}" name="Before restock F" dataDxfId="74">
      <calculatedColumnFormula>Table3[[#This Row],[After restock E]]-Table3[[#This Row],[Need of F]]</calculatedColumnFormula>
    </tableColumn>
    <tableColumn id="40" xr3:uid="{D4CB6EF7-FF38-4699-9F85-54D371167668}" name="After restock F" dataDxfId="73">
      <calculatedColumnFormula>IF(Table3[[#This Row],[Before restock F]]&lt;0,0,Table3[[#This Row],[Before restock F]])</calculatedColumnFormula>
    </tableColumn>
    <tableColumn id="25" xr3:uid="{DEA6DD1A-3CB7-4823-B3F4-9607D379D261}" name="Need of G" dataDxfId="72"/>
    <tableColumn id="41" xr3:uid="{21F91EFB-3584-49E4-A5C6-BF4EF6661B1E}" name="Before restock G" dataDxfId="71">
      <calculatedColumnFormula>Table3[[#This Row],[After restock F]]-Table3[[#This Row],[Need of G]]</calculatedColumnFormula>
    </tableColumn>
    <tableColumn id="42" xr3:uid="{B94C8726-337E-4F19-8589-E79E3243079B}" name="After restock G" dataDxfId="70">
      <calculatedColumnFormula>IF(Table3[[#This Row],[Before restock G]]&lt;0,0,Table3[[#This Row],[Before restock G]])</calculatedColumnFormula>
    </tableColumn>
    <tableColumn id="19" xr3:uid="{7A5229BA-A49B-484B-A303-E1C7ECE352F9}" name="Total reorders" dataDxfId="69"/>
    <tableColumn id="20" xr3:uid="{0CF594D1-337E-4C13-925A-96284AB4C0BB}" name="NVL Nội địa: 7 ngày_x000a_NVL Nhập khẩu: 14 ngày" dataDxfId="68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C4E4EB7-BBEF-430A-B726-82A374F46BEA}" name="Table2" displayName="Table2" ref="A1:U104" totalsRowShown="0" headerRowDxfId="67" dataDxfId="65" headerRowBorderDxfId="66" tableBorderDxfId="64" totalsRowBorderDxfId="63">
  <autoFilter ref="A1:U104" xr:uid="{2C4E4EB7-BBEF-430A-B726-82A374F46BEA}"/>
  <tableColumns count="21">
    <tableColumn id="1" xr3:uid="{13158ED0-714D-498F-937D-AEC1271F4322}" name="Column1" dataDxfId="62"/>
    <tableColumn id="2" xr3:uid="{E0EF9BAF-D006-40AE-8385-E84AA9F84F84}" name="DESC_x000a_MÔ TẢ" dataDxfId="61"/>
    <tableColumn id="3" xr3:uid="{5B2788F9-0FC0-4B4B-9E95-7DA5D9DA413C}" name="UOM_x000a_ĐƠN VỊ" dataDxfId="60"/>
    <tableColumn id="4" xr3:uid="{041898A8-94F0-4028-9D63-53FEF43F45A4}" name="ĐƠN VỊ CHUẨN THEO TK/ HĐ" dataDxfId="59"/>
    <tableColumn id="6" xr3:uid="{FF04ADE9-E24B-4EB9-94D5-F0B83EB39A6C}" name="Store interior and display cabinet (A)" dataDxfId="58"/>
    <tableColumn id="7" xr3:uid="{A46644CC-DE4A-40C7-B4DD-857ABAFAC40B}" name="Illuminated sign of the store (A)" dataDxfId="57"/>
    <tableColumn id="8" xr3:uid="{3B20CB36-EAF1-4BB4-883C-8E49B7F83C08}" name="Metal frame glass cabinet (A)" dataDxfId="56"/>
    <tableColumn id="9" xr3:uid="{9DCAEF3D-77DD-483C-932B-11C5A75CDD52}" name="Executive Meeting Table (B)" dataDxfId="55"/>
    <tableColumn id="10" xr3:uid="{160EE7B7-C3B9-465B-8AF0-8103CD9DAC22}" name="Modern office interior renovation ( C )" dataDxfId="54"/>
    <tableColumn id="11" xr3:uid="{EBF70B26-B5CB-4CC1-A176-37B157707B9E}" name="Reception booth (D)" dataDxfId="53"/>
    <tableColumn id="12" xr3:uid="{EEE52CF6-8139-44BD-8735-500F288FBE37}" name="Metal frame glass cabinet (D)" dataDxfId="52"/>
    <tableColumn id="13" xr3:uid="{CE8DF07E-8E53-4656-93B5-D573688C7738}" name="Executive Meeting Table (D)" dataDxfId="51"/>
    <tableColumn id="14" xr3:uid="{9B64EC49-FEBB-404F-A277-A206B009B830}" name="Indoor bar in the restaurant ( E )" dataDxfId="50"/>
    <tableColumn id="15" xr3:uid="{DDD5943B-0D01-485F-AAF2-3E1D3466D4DE}" name="Illuminated sign of the store ( F )" dataDxfId="49"/>
    <tableColumn id="16" xr3:uid="{E40A5825-C665-4EC7-B759-F24591EC9CC1}" name="Metal frame glass cabinet ( G )" dataDxfId="48"/>
    <tableColumn id="17" xr3:uid="{6BAA8CAB-EA59-4A54-BC25-313BA1F31CDC}" name="Indoor bar in the restaurant ( G )" dataDxfId="47"/>
    <tableColumn id="18" xr3:uid="{B49AFC4E-BD2B-4947-9C1A-CCEFFDB99704}" name="Executive Meeting Table ( G )" dataDxfId="46"/>
    <tableColumn id="19" xr3:uid="{4C45CF2A-30D3-4978-8B7F-A289A722F4FC}" name="TOTAL" dataDxfId="45">
      <calculatedColumnFormula>SUM(E2:Q2)</calculatedColumnFormula>
    </tableColumn>
    <tableColumn id="20" xr3:uid="{418AE6D4-E78D-425D-A745-8F686C26B9FB}" name="Daily demand of products" dataDxfId="44">
      <calculatedColumnFormula>R2/132</calculatedColumnFormula>
    </tableColumn>
    <tableColumn id="21" xr3:uid="{A2F17B2E-6B44-412F-B4FB-E27686C6F6BA}" name="Buffer days" dataDxfId="43"/>
    <tableColumn id="22" xr3:uid="{0B3334F4-E6D4-4417-9BF5-85D2E3B4FF60}" name="Safety stocks" dataDxfId="42">
      <calculatedColumnFormula>S2*T2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0D6AC-2A01-4F5C-A138-3BB06F405AEF}">
  <dimension ref="B1:F104"/>
  <sheetViews>
    <sheetView topLeftCell="A2" zoomScale="70" zoomScaleNormal="70" workbookViewId="0">
      <selection activeCell="F86" sqref="F86"/>
    </sheetView>
  </sheetViews>
  <sheetFormatPr defaultRowHeight="14.4" x14ac:dyDescent="0.3"/>
  <cols>
    <col min="2" max="2" width="18.5546875" bestFit="1" customWidth="1"/>
    <col min="3" max="3" width="104.21875" customWidth="1"/>
    <col min="4" max="4" width="20" customWidth="1"/>
    <col min="5" max="5" width="13.88671875" customWidth="1"/>
    <col min="6" max="6" width="14.77734375" customWidth="1"/>
  </cols>
  <sheetData>
    <row r="1" spans="2:6" x14ac:dyDescent="0.3">
      <c r="B1" s="58" t="s">
        <v>369</v>
      </c>
      <c r="C1" s="58" t="s">
        <v>368</v>
      </c>
      <c r="D1" s="58" t="s">
        <v>364</v>
      </c>
      <c r="E1" s="58" t="s">
        <v>363</v>
      </c>
      <c r="F1" s="58" t="s">
        <v>367</v>
      </c>
    </row>
    <row r="2" spans="2:6" x14ac:dyDescent="0.3">
      <c r="B2" t="s">
        <v>231</v>
      </c>
      <c r="C2" t="s">
        <v>351</v>
      </c>
      <c r="D2" t="str">
        <f>IFERROR(VLOOKUP($C2,[1]BOM!$B$2:$D$104,2,0),0)</f>
        <v>M3</v>
      </c>
      <c r="E2">
        <f>IFERROR(VLOOKUP($C2,[1]BOM!$B$2:$D$104,3,0),0)</f>
        <v>0</v>
      </c>
      <c r="F2">
        <v>0</v>
      </c>
    </row>
    <row r="3" spans="2:6" x14ac:dyDescent="0.3">
      <c r="B3" t="s">
        <v>231</v>
      </c>
      <c r="C3" t="s">
        <v>349</v>
      </c>
      <c r="D3" t="str">
        <f>IFERROR(VLOOKUP($C3,[1]BOM!$B$2:$D$104,2,0),0)</f>
        <v>M</v>
      </c>
      <c r="E3">
        <f>IFERROR(VLOOKUP($C3,[1]BOM!$B$2:$D$104,3,0),0)</f>
        <v>0</v>
      </c>
      <c r="F3">
        <v>6.2329999999999997</v>
      </c>
    </row>
    <row r="4" spans="2:6" x14ac:dyDescent="0.3">
      <c r="B4" t="s">
        <v>231</v>
      </c>
      <c r="C4" t="s">
        <v>348</v>
      </c>
      <c r="D4" t="str">
        <f>IFERROR(VLOOKUP($C4,[1]BOM!$B$2:$D$104,2,0),0)</f>
        <v>M</v>
      </c>
      <c r="E4">
        <f>IFERROR(VLOOKUP($C4,[1]BOM!$B$2:$D$104,3,0),0)</f>
        <v>0</v>
      </c>
      <c r="F4">
        <v>2.96</v>
      </c>
    </row>
    <row r="5" spans="2:6" x14ac:dyDescent="0.3">
      <c r="B5" t="s">
        <v>231</v>
      </c>
      <c r="C5" t="s">
        <v>347</v>
      </c>
      <c r="D5" t="str">
        <f>IFERROR(VLOOKUP($C5,[1]BOM!$B$2:$D$104,2,0),0)</f>
        <v>M</v>
      </c>
      <c r="E5">
        <f>IFERROR(VLOOKUP($C5,[1]BOM!$B$2:$D$104,3,0),0)</f>
        <v>0</v>
      </c>
      <c r="F5">
        <v>4.4800000000000004</v>
      </c>
    </row>
    <row r="6" spans="2:6" x14ac:dyDescent="0.3">
      <c r="B6" t="s">
        <v>231</v>
      </c>
      <c r="C6" t="s">
        <v>346</v>
      </c>
      <c r="D6" t="str">
        <f>IFERROR(VLOOKUP($C6,[1]BOM!$B$2:$D$104,2,0),0)</f>
        <v>M</v>
      </c>
      <c r="E6">
        <f>IFERROR(VLOOKUP($C6,[1]BOM!$B$2:$D$104,3,0),0)</f>
        <v>0</v>
      </c>
      <c r="F6">
        <v>0</v>
      </c>
    </row>
    <row r="7" spans="2:6" x14ac:dyDescent="0.3">
      <c r="B7" t="s">
        <v>231</v>
      </c>
      <c r="C7" t="s">
        <v>345</v>
      </c>
      <c r="D7" t="str">
        <f>IFERROR(VLOOKUP($C7,[1]BOM!$B$2:$D$104,2,0),0)</f>
        <v>M</v>
      </c>
      <c r="E7">
        <f>IFERROR(VLOOKUP($C7,[1]BOM!$B$2:$D$104,3,0),0)</f>
        <v>0</v>
      </c>
      <c r="F7">
        <v>5.2219999999999995</v>
      </c>
    </row>
    <row r="8" spans="2:6" x14ac:dyDescent="0.3">
      <c r="B8" t="s">
        <v>231</v>
      </c>
      <c r="C8" t="s">
        <v>344</v>
      </c>
      <c r="D8" t="str">
        <f>IFERROR(VLOOKUP($C8,[1]BOM!$B$2:$D$104,2,0),0)</f>
        <v>M</v>
      </c>
      <c r="E8">
        <f>IFERROR(VLOOKUP($C8,[1]BOM!$B$2:$D$104,3,0),0)</f>
        <v>0</v>
      </c>
      <c r="F8">
        <v>3.28</v>
      </c>
    </row>
    <row r="9" spans="2:6" x14ac:dyDescent="0.3">
      <c r="B9" t="s">
        <v>231</v>
      </c>
      <c r="C9" t="s">
        <v>340</v>
      </c>
      <c r="D9" t="str">
        <f>IFERROR(VLOOKUP($C9,[1]BOM!$B$2:$D$104,2,0),0)</f>
        <v>M</v>
      </c>
      <c r="E9">
        <f>IFERROR(VLOOKUP($C9,[1]BOM!$B$2:$D$104,3,0),0)</f>
        <v>0</v>
      </c>
      <c r="F9">
        <v>2.9630000000000001</v>
      </c>
    </row>
    <row r="10" spans="2:6" x14ac:dyDescent="0.3">
      <c r="B10" t="s">
        <v>231</v>
      </c>
      <c r="C10" t="s">
        <v>337</v>
      </c>
      <c r="D10" t="str">
        <f>IFERROR(VLOOKUP($C10,[1]BOM!$B$2:$D$104,2,0),0)</f>
        <v>PCS</v>
      </c>
      <c r="E10">
        <f>IFERROR(VLOOKUP($C10,[1]BOM!$B$2:$D$104,3,0),0)</f>
        <v>0</v>
      </c>
      <c r="F10">
        <v>1</v>
      </c>
    </row>
    <row r="11" spans="2:6" x14ac:dyDescent="0.3">
      <c r="B11" t="s">
        <v>231</v>
      </c>
      <c r="C11" t="s">
        <v>336</v>
      </c>
      <c r="D11" t="str">
        <f>IFERROR(VLOOKUP($C11,[1]BOM!$B$2:$D$104,2,0),0)</f>
        <v>PCS</v>
      </c>
      <c r="E11">
        <f>IFERROR(VLOOKUP($C11,[1]BOM!$B$2:$D$104,3,0),0)</f>
        <v>0</v>
      </c>
      <c r="F11">
        <v>0</v>
      </c>
    </row>
    <row r="12" spans="2:6" x14ac:dyDescent="0.3">
      <c r="B12" t="s">
        <v>231</v>
      </c>
      <c r="C12" t="s">
        <v>335</v>
      </c>
      <c r="D12" t="str">
        <f>IFERROR(VLOOKUP($C12,[1]BOM!$B$2:$D$104,2,0),0)</f>
        <v>PCS</v>
      </c>
      <c r="E12">
        <f>IFERROR(VLOOKUP($C12,[1]BOM!$B$2:$D$104,3,0),0)</f>
        <v>0</v>
      </c>
      <c r="F12">
        <v>0</v>
      </c>
    </row>
    <row r="13" spans="2:6" x14ac:dyDescent="0.3">
      <c r="B13" t="s">
        <v>231</v>
      </c>
      <c r="C13" t="s">
        <v>334</v>
      </c>
      <c r="D13" t="str">
        <f>IFERROR(VLOOKUP($C13,[1]BOM!$B$2:$D$104,2,0),0)</f>
        <v>PCS</v>
      </c>
      <c r="E13">
        <f>IFERROR(VLOOKUP($C13,[1]BOM!$B$2:$D$104,3,0),0)</f>
        <v>0</v>
      </c>
      <c r="F13">
        <v>0</v>
      </c>
    </row>
    <row r="14" spans="2:6" x14ac:dyDescent="0.3">
      <c r="B14" t="s">
        <v>231</v>
      </c>
      <c r="C14" t="s">
        <v>333</v>
      </c>
      <c r="D14" t="str">
        <f>IFERROR(VLOOKUP($C14,[1]BOM!$B$2:$D$104,2,0),0)</f>
        <v>PCS</v>
      </c>
      <c r="E14">
        <f>IFERROR(VLOOKUP($C14,[1]BOM!$B$2:$D$104,3,0),0)</f>
        <v>0</v>
      </c>
      <c r="F14">
        <v>0</v>
      </c>
    </row>
    <row r="15" spans="2:6" x14ac:dyDescent="0.3">
      <c r="B15" t="s">
        <v>231</v>
      </c>
      <c r="C15" t="s">
        <v>332</v>
      </c>
      <c r="D15" t="str">
        <f>IFERROR(VLOOKUP($C15,[1]BOM!$B$2:$D$104,2,0),0)</f>
        <v>PCS</v>
      </c>
      <c r="E15">
        <f>IFERROR(VLOOKUP($C15,[1]BOM!$B$2:$D$104,3,0),0)</f>
        <v>0</v>
      </c>
      <c r="F15">
        <v>0</v>
      </c>
    </row>
    <row r="16" spans="2:6" x14ac:dyDescent="0.3">
      <c r="B16" t="s">
        <v>231</v>
      </c>
      <c r="C16" t="s">
        <v>331</v>
      </c>
      <c r="D16" t="str">
        <f>IFERROR(VLOOKUP($C16,[1]BOM!$B$2:$D$104,2,0),0)</f>
        <v>PCS</v>
      </c>
      <c r="E16">
        <f>IFERROR(VLOOKUP($C16,[1]BOM!$B$2:$D$104,3,0),0)</f>
        <v>0</v>
      </c>
      <c r="F16">
        <v>0</v>
      </c>
    </row>
    <row r="17" spans="2:6" x14ac:dyDescent="0.3">
      <c r="B17" t="s">
        <v>231</v>
      </c>
      <c r="C17" t="s">
        <v>330</v>
      </c>
      <c r="D17" t="str">
        <f>IFERROR(VLOOKUP($C17,[1]BOM!$B$2:$D$104,2,0),0)</f>
        <v>PCS</v>
      </c>
      <c r="E17">
        <f>IFERROR(VLOOKUP($C17,[1]BOM!$B$2:$D$104,3,0),0)</f>
        <v>0</v>
      </c>
      <c r="F17">
        <v>0</v>
      </c>
    </row>
    <row r="18" spans="2:6" x14ac:dyDescent="0.3">
      <c r="B18" t="s">
        <v>231</v>
      </c>
      <c r="C18" t="s">
        <v>329</v>
      </c>
      <c r="D18" t="str">
        <f>IFERROR(VLOOKUP($C18,[1]BOM!$B$2:$D$104,2,0),0)</f>
        <v>PCS</v>
      </c>
      <c r="E18">
        <f>IFERROR(VLOOKUP($C18,[1]BOM!$B$2:$D$104,3,0),0)</f>
        <v>0</v>
      </c>
      <c r="F18">
        <v>0</v>
      </c>
    </row>
    <row r="19" spans="2:6" x14ac:dyDescent="0.3">
      <c r="B19" t="s">
        <v>231</v>
      </c>
      <c r="C19" t="s">
        <v>328</v>
      </c>
      <c r="D19" t="str">
        <f>IFERROR(VLOOKUP($C19,[1]BOM!$B$2:$D$104,2,0),0)</f>
        <v>M</v>
      </c>
      <c r="E19">
        <f>IFERROR(VLOOKUP($C19,[1]BOM!$B$2:$D$104,3,0),0)</f>
        <v>0</v>
      </c>
      <c r="F19">
        <v>8.5</v>
      </c>
    </row>
    <row r="20" spans="2:6" x14ac:dyDescent="0.3">
      <c r="B20" t="s">
        <v>231</v>
      </c>
      <c r="C20" t="s">
        <v>327</v>
      </c>
      <c r="D20" t="str">
        <f>IFERROR(VLOOKUP($C20,[1]BOM!$B$2:$D$104,2,0),0)</f>
        <v>M</v>
      </c>
      <c r="E20">
        <f>IFERROR(VLOOKUP($C20,[1]BOM!$B$2:$D$104,3,0),0)</f>
        <v>0</v>
      </c>
      <c r="F20">
        <v>8.5</v>
      </c>
    </row>
    <row r="21" spans="2:6" x14ac:dyDescent="0.3">
      <c r="B21" t="s">
        <v>231</v>
      </c>
      <c r="C21" t="s">
        <v>326</v>
      </c>
      <c r="D21" t="str">
        <f>IFERROR(VLOOKUP($C21,[1]BOM!$B$2:$D$104,2,0),0)</f>
        <v>M</v>
      </c>
      <c r="E21">
        <f>IFERROR(VLOOKUP($C21,[1]BOM!$B$2:$D$104,3,0),0)</f>
        <v>0</v>
      </c>
      <c r="F21">
        <v>9.2639999999999993</v>
      </c>
    </row>
    <row r="22" spans="2:6" x14ac:dyDescent="0.3">
      <c r="B22" t="s">
        <v>231</v>
      </c>
      <c r="C22" t="s">
        <v>325</v>
      </c>
      <c r="D22" t="str">
        <f>IFERROR(VLOOKUP($C22,[1]BOM!$B$2:$D$104,2,0),0)</f>
        <v>M</v>
      </c>
      <c r="E22">
        <f>IFERROR(VLOOKUP($C22,[1]BOM!$B$2:$D$104,3,0),0)</f>
        <v>0</v>
      </c>
      <c r="F22">
        <v>1.25</v>
      </c>
    </row>
    <row r="23" spans="2:6" x14ac:dyDescent="0.3">
      <c r="B23" t="s">
        <v>231</v>
      </c>
      <c r="C23" t="s">
        <v>324</v>
      </c>
      <c r="D23" t="str">
        <f>IFERROR(VLOOKUP($C23,[1]BOM!$B$2:$D$104,2,0),0)</f>
        <v>M</v>
      </c>
      <c r="E23">
        <f>IFERROR(VLOOKUP($C23,[1]BOM!$B$2:$D$104,3,0),0)</f>
        <v>0</v>
      </c>
      <c r="F23">
        <v>1.32</v>
      </c>
    </row>
    <row r="24" spans="2:6" x14ac:dyDescent="0.3">
      <c r="B24" t="s">
        <v>231</v>
      </c>
      <c r="C24" t="s">
        <v>323</v>
      </c>
      <c r="D24" t="str">
        <f>IFERROR(VLOOKUP($C24,[1]BOM!$B$2:$D$104,2,0),0)</f>
        <v>PCS</v>
      </c>
      <c r="E24">
        <f>IFERROR(VLOOKUP($C24,[1]BOM!$B$2:$D$104,3,0),0)</f>
        <v>0</v>
      </c>
      <c r="F24">
        <v>0.20800000000000002</v>
      </c>
    </row>
    <row r="25" spans="2:6" x14ac:dyDescent="0.3">
      <c r="B25" t="s">
        <v>231</v>
      </c>
      <c r="C25" t="s">
        <v>322</v>
      </c>
      <c r="D25" t="str">
        <f>IFERROR(VLOOKUP($C25,[1]BOM!$B$2:$D$104,2,0),0)</f>
        <v>PCS</v>
      </c>
      <c r="E25">
        <f>IFERROR(VLOOKUP($C25,[1]BOM!$B$2:$D$104,3,0),0)</f>
        <v>0</v>
      </c>
      <c r="F25">
        <v>0.39</v>
      </c>
    </row>
    <row r="26" spans="2:6" x14ac:dyDescent="0.3">
      <c r="B26" t="s">
        <v>231</v>
      </c>
      <c r="C26" t="s">
        <v>321</v>
      </c>
      <c r="D26" t="str">
        <f>IFERROR(VLOOKUP($C26,[1]BOM!$B$2:$D$104,2,0),0)</f>
        <v>PCS</v>
      </c>
      <c r="E26">
        <f>IFERROR(VLOOKUP($C26,[1]BOM!$B$2:$D$104,3,0),0)</f>
        <v>0</v>
      </c>
      <c r="F26">
        <v>1.591</v>
      </c>
    </row>
    <row r="27" spans="2:6" x14ac:dyDescent="0.3">
      <c r="B27" t="s">
        <v>231</v>
      </c>
      <c r="C27" t="s">
        <v>320</v>
      </c>
      <c r="D27" t="str">
        <f>IFERROR(VLOOKUP($C27,[1]BOM!$B$2:$D$104,2,0),0)</f>
        <v>PCS</v>
      </c>
      <c r="E27">
        <f>IFERROR(VLOOKUP($C27,[1]BOM!$B$2:$D$104,3,0),0)</f>
        <v>0</v>
      </c>
      <c r="F27">
        <v>1.7769999999999999</v>
      </c>
    </row>
    <row r="28" spans="2:6" x14ac:dyDescent="0.3">
      <c r="B28" t="s">
        <v>231</v>
      </c>
      <c r="C28" t="s">
        <v>319</v>
      </c>
      <c r="D28" t="str">
        <f>IFERROR(VLOOKUP($C28,[1]BOM!$B$2:$D$104,2,0),0)</f>
        <v>PCS</v>
      </c>
      <c r="E28">
        <f>IFERROR(VLOOKUP($C28,[1]BOM!$B$2:$D$104,3,0),0)</f>
        <v>0</v>
      </c>
      <c r="F28">
        <v>0</v>
      </c>
    </row>
    <row r="29" spans="2:6" x14ac:dyDescent="0.3">
      <c r="B29" t="s">
        <v>231</v>
      </c>
      <c r="C29" t="s">
        <v>316</v>
      </c>
      <c r="D29" t="str">
        <f>IFERROR(VLOOKUP($C29,[1]BOM!$B$2:$D$104,2,0),0)</f>
        <v>M</v>
      </c>
      <c r="E29">
        <f>IFERROR(VLOOKUP($C29,[1]BOM!$B$2:$D$104,3,0),0)</f>
        <v>0</v>
      </c>
      <c r="F29">
        <v>0</v>
      </c>
    </row>
    <row r="30" spans="2:6" x14ac:dyDescent="0.3">
      <c r="B30" t="s">
        <v>231</v>
      </c>
      <c r="C30" t="s">
        <v>315</v>
      </c>
      <c r="D30" t="str">
        <f>IFERROR(VLOOKUP($C30,[1]BOM!$B$2:$D$104,2,0),0)</f>
        <v>M</v>
      </c>
      <c r="E30">
        <f>IFERROR(VLOOKUP($C30,[1]BOM!$B$2:$D$104,3,0),0)</f>
        <v>0</v>
      </c>
      <c r="F30">
        <v>1.17</v>
      </c>
    </row>
    <row r="31" spans="2:6" x14ac:dyDescent="0.3">
      <c r="B31" t="s">
        <v>231</v>
      </c>
      <c r="C31" t="s">
        <v>314</v>
      </c>
      <c r="D31" t="str">
        <f>IFERROR(VLOOKUP($C31,[1]BOM!$B$2:$D$104,2,0),0)</f>
        <v>M</v>
      </c>
      <c r="E31">
        <f>IFERROR(VLOOKUP($C31,[1]BOM!$B$2:$D$104,3,0),0)</f>
        <v>0</v>
      </c>
      <c r="F31">
        <v>0</v>
      </c>
    </row>
    <row r="32" spans="2:6" x14ac:dyDescent="0.3">
      <c r="B32" t="s">
        <v>231</v>
      </c>
      <c r="C32" t="s">
        <v>313</v>
      </c>
      <c r="D32" t="str">
        <f>IFERROR(VLOOKUP($C32,[1]BOM!$B$2:$D$104,2,0),0)</f>
        <v>M</v>
      </c>
      <c r="E32">
        <f>IFERROR(VLOOKUP($C32,[1]BOM!$B$2:$D$104,3,0),0)</f>
        <v>0</v>
      </c>
      <c r="F32">
        <v>0</v>
      </c>
    </row>
    <row r="33" spans="2:6" x14ac:dyDescent="0.3">
      <c r="B33" t="s">
        <v>231</v>
      </c>
      <c r="C33" t="s">
        <v>312</v>
      </c>
      <c r="D33" t="str">
        <f>IFERROR(VLOOKUP($C33,[1]BOM!$B$2:$D$104,2,0),0)</f>
        <v>PCS</v>
      </c>
      <c r="E33">
        <f>IFERROR(VLOOKUP($C33,[1]BOM!$B$2:$D$104,3,0),0)</f>
        <v>0</v>
      </c>
      <c r="F33">
        <v>0</v>
      </c>
    </row>
    <row r="34" spans="2:6" x14ac:dyDescent="0.3">
      <c r="B34" t="s">
        <v>231</v>
      </c>
      <c r="C34" t="s">
        <v>311</v>
      </c>
      <c r="D34" t="str">
        <f>IFERROR(VLOOKUP($C34,[1]BOM!$B$2:$D$104,2,0),0)</f>
        <v>PCS</v>
      </c>
      <c r="E34">
        <f>IFERROR(VLOOKUP($C34,[1]BOM!$B$2:$D$104,3,0),0)</f>
        <v>0</v>
      </c>
      <c r="F34">
        <v>2.1280000000000001</v>
      </c>
    </row>
    <row r="35" spans="2:6" x14ac:dyDescent="0.3">
      <c r="B35" t="s">
        <v>231</v>
      </c>
      <c r="C35" t="s">
        <v>309</v>
      </c>
      <c r="D35" t="str">
        <f>IFERROR(VLOOKUP($C35,[1]BOM!$B$2:$D$104,2,0),0)</f>
        <v>PCS</v>
      </c>
      <c r="E35">
        <f>IFERROR(VLOOKUP($C35,[1]BOM!$B$2:$D$104,3,0),0)</f>
        <v>0</v>
      </c>
      <c r="F35">
        <v>1.617</v>
      </c>
    </row>
    <row r="36" spans="2:6" x14ac:dyDescent="0.3">
      <c r="B36" t="s">
        <v>231</v>
      </c>
      <c r="C36" t="s">
        <v>306</v>
      </c>
      <c r="D36" t="str">
        <f>IFERROR(VLOOKUP($C36,[1]BOM!$B$2:$D$104,2,0),0)</f>
        <v>PCS</v>
      </c>
      <c r="E36">
        <f>IFERROR(VLOOKUP($C36,[1]BOM!$B$2:$D$104,3,0),0)</f>
        <v>0</v>
      </c>
      <c r="F36">
        <v>0.26</v>
      </c>
    </row>
    <row r="37" spans="2:6" x14ac:dyDescent="0.3">
      <c r="B37" t="s">
        <v>231</v>
      </c>
      <c r="C37" t="s">
        <v>305</v>
      </c>
      <c r="D37" t="str">
        <f>IFERROR(VLOOKUP($C37,[1]BOM!$B$2:$D$104,2,0),0)</f>
        <v>PCS</v>
      </c>
      <c r="E37">
        <f>IFERROR(VLOOKUP($C37,[1]BOM!$B$2:$D$104,3,0),0)</f>
        <v>0</v>
      </c>
      <c r="F37">
        <v>1.274</v>
      </c>
    </row>
    <row r="38" spans="2:6" x14ac:dyDescent="0.3">
      <c r="B38" t="s">
        <v>231</v>
      </c>
      <c r="C38" t="s">
        <v>304</v>
      </c>
      <c r="D38" t="str">
        <f>IFERROR(VLOOKUP($C38,[1]BOM!$B$2:$D$104,2,0),0)</f>
        <v>PCS</v>
      </c>
      <c r="E38">
        <f>IFERROR(VLOOKUP($C38,[1]BOM!$B$2:$D$104,3,0),0)</f>
        <v>0</v>
      </c>
      <c r="F38">
        <v>0</v>
      </c>
    </row>
    <row r="39" spans="2:6" x14ac:dyDescent="0.3">
      <c r="B39" t="s">
        <v>231</v>
      </c>
      <c r="C39" t="s">
        <v>303</v>
      </c>
      <c r="D39" t="str">
        <f>IFERROR(VLOOKUP($C39,[1]BOM!$B$2:$D$104,2,0),0)</f>
        <v>PCS</v>
      </c>
      <c r="E39">
        <f>IFERROR(VLOOKUP($C39,[1]BOM!$B$2:$D$104,3,0),0)</f>
        <v>0</v>
      </c>
      <c r="F39">
        <v>0</v>
      </c>
    </row>
    <row r="40" spans="2:6" x14ac:dyDescent="0.3">
      <c r="B40" t="s">
        <v>231</v>
      </c>
      <c r="C40" t="s">
        <v>302</v>
      </c>
      <c r="D40" t="str">
        <f>IFERROR(VLOOKUP($C40,[1]BOM!$B$2:$D$104,2,0),0)</f>
        <v>M</v>
      </c>
      <c r="E40">
        <f>IFERROR(VLOOKUP($C40,[1]BOM!$B$2:$D$104,3,0),0)</f>
        <v>0</v>
      </c>
      <c r="F40">
        <v>58.440000000000005</v>
      </c>
    </row>
    <row r="41" spans="2:6" x14ac:dyDescent="0.3">
      <c r="B41" t="s">
        <v>231</v>
      </c>
      <c r="C41" t="s">
        <v>301</v>
      </c>
      <c r="D41" t="str">
        <f>IFERROR(VLOOKUP($C41,[1]BOM!$B$2:$D$104,2,0),0)</f>
        <v>M</v>
      </c>
      <c r="E41">
        <f>IFERROR(VLOOKUP($C41,[1]BOM!$B$2:$D$104,3,0),0)</f>
        <v>0</v>
      </c>
      <c r="F41">
        <v>8.16</v>
      </c>
    </row>
    <row r="42" spans="2:6" x14ac:dyDescent="0.3">
      <c r="B42" t="s">
        <v>231</v>
      </c>
      <c r="C42" t="s">
        <v>300</v>
      </c>
      <c r="D42" t="str">
        <f>IFERROR(VLOOKUP($C42,[1]BOM!$B$2:$D$104,2,0),0)</f>
        <v>M</v>
      </c>
      <c r="E42">
        <f>IFERROR(VLOOKUP($C42,[1]BOM!$B$2:$D$104,3,0),0)</f>
        <v>0</v>
      </c>
      <c r="F42">
        <v>6.41</v>
      </c>
    </row>
    <row r="43" spans="2:6" x14ac:dyDescent="0.3">
      <c r="B43" t="s">
        <v>231</v>
      </c>
      <c r="C43" t="s">
        <v>299</v>
      </c>
      <c r="D43" t="str">
        <f>IFERROR(VLOOKUP($C43,[1]BOM!$B$2:$D$104,2,0),0)</f>
        <v>M</v>
      </c>
      <c r="E43">
        <f>IFERROR(VLOOKUP($C43,[1]BOM!$B$2:$D$104,3,0),0)</f>
        <v>0</v>
      </c>
      <c r="F43">
        <v>20.350000000000001</v>
      </c>
    </row>
    <row r="44" spans="2:6" x14ac:dyDescent="0.3">
      <c r="B44" t="s">
        <v>231</v>
      </c>
      <c r="C44" t="s">
        <v>298</v>
      </c>
      <c r="D44" t="str">
        <f>IFERROR(VLOOKUP($C44,[1]BOM!$B$2:$D$104,2,0),0)</f>
        <v>PCS</v>
      </c>
      <c r="E44">
        <f>IFERROR(VLOOKUP($C44,[1]BOM!$B$2:$D$104,3,0),0)</f>
        <v>0</v>
      </c>
      <c r="F44">
        <v>0</v>
      </c>
    </row>
    <row r="45" spans="2:6" x14ac:dyDescent="0.3">
      <c r="B45" t="s">
        <v>231</v>
      </c>
      <c r="C45" t="s">
        <v>295</v>
      </c>
      <c r="D45" t="str">
        <f>IFERROR(VLOOKUP($C45,[1]BOM!$B$2:$D$104,2,0),0)</f>
        <v>PCS</v>
      </c>
      <c r="E45">
        <f>IFERROR(VLOOKUP($C45,[1]BOM!$B$2:$D$104,3,0),0)</f>
        <v>0</v>
      </c>
      <c r="F45">
        <v>3.5</v>
      </c>
    </row>
    <row r="46" spans="2:6" x14ac:dyDescent="0.3">
      <c r="B46" t="s">
        <v>231</v>
      </c>
      <c r="C46" t="s">
        <v>294</v>
      </c>
      <c r="D46" t="str">
        <f>IFERROR(VLOOKUP($C46,[1]BOM!$B$2:$D$104,2,0),0)</f>
        <v>PCS</v>
      </c>
      <c r="E46">
        <f>IFERROR(VLOOKUP($C46,[1]BOM!$B$2:$D$104,3,0),0)</f>
        <v>0</v>
      </c>
      <c r="F46">
        <v>7</v>
      </c>
    </row>
    <row r="47" spans="2:6" x14ac:dyDescent="0.3">
      <c r="B47" t="s">
        <v>231</v>
      </c>
      <c r="C47" t="s">
        <v>293</v>
      </c>
      <c r="D47" t="str">
        <f>IFERROR(VLOOKUP($C47,[1]BOM!$B$2:$D$104,2,0),0)</f>
        <v>PCS</v>
      </c>
      <c r="E47">
        <f>IFERROR(VLOOKUP($C47,[1]BOM!$B$2:$D$104,3,0),0)</f>
        <v>0</v>
      </c>
      <c r="F47">
        <v>9</v>
      </c>
    </row>
    <row r="48" spans="2:6" x14ac:dyDescent="0.3">
      <c r="B48" t="s">
        <v>231</v>
      </c>
      <c r="C48" t="s">
        <v>292</v>
      </c>
      <c r="D48" t="str">
        <f>IFERROR(VLOOKUP($C48,[1]BOM!$B$2:$D$104,2,0),0)</f>
        <v>PCS</v>
      </c>
      <c r="E48">
        <f>IFERROR(VLOOKUP($C48,[1]BOM!$B$2:$D$104,3,0),0)</f>
        <v>0</v>
      </c>
      <c r="F48">
        <v>6</v>
      </c>
    </row>
    <row r="49" spans="2:6" x14ac:dyDescent="0.3">
      <c r="B49" t="s">
        <v>231</v>
      </c>
      <c r="C49" t="s">
        <v>291</v>
      </c>
      <c r="D49" t="str">
        <f>IFERROR(VLOOKUP($C49,[1]BOM!$B$2:$D$104,2,0),0)</f>
        <v>PCS</v>
      </c>
      <c r="E49">
        <f>IFERROR(VLOOKUP($C49,[1]BOM!$B$2:$D$104,3,0),0)</f>
        <v>0</v>
      </c>
      <c r="F49">
        <v>23</v>
      </c>
    </row>
    <row r="50" spans="2:6" x14ac:dyDescent="0.3">
      <c r="B50" t="s">
        <v>231</v>
      </c>
      <c r="C50" t="s">
        <v>290</v>
      </c>
      <c r="D50" t="str">
        <f>IFERROR(VLOOKUP($C50,[1]BOM!$B$2:$D$104,2,0),0)</f>
        <v>PCS</v>
      </c>
      <c r="E50">
        <f>IFERROR(VLOOKUP($C50,[1]BOM!$B$2:$D$104,3,0),0)</f>
        <v>0</v>
      </c>
      <c r="F50">
        <v>0</v>
      </c>
    </row>
    <row r="51" spans="2:6" x14ac:dyDescent="0.3">
      <c r="B51" t="s">
        <v>231</v>
      </c>
      <c r="C51" t="s">
        <v>289</v>
      </c>
      <c r="D51" t="str">
        <f>IFERROR(VLOOKUP($C51,[1]BOM!$B$2:$D$104,2,0),0)</f>
        <v>PCS</v>
      </c>
      <c r="E51">
        <f>IFERROR(VLOOKUP($C51,[1]BOM!$B$2:$D$104,3,0),0)</f>
        <v>0</v>
      </c>
      <c r="F51">
        <v>0</v>
      </c>
    </row>
    <row r="52" spans="2:6" x14ac:dyDescent="0.3">
      <c r="B52" t="s">
        <v>231</v>
      </c>
      <c r="C52" t="s">
        <v>288</v>
      </c>
      <c r="D52" t="str">
        <f>IFERROR(VLOOKUP($C52,[1]BOM!$B$2:$D$104,2,0),0)</f>
        <v>PCS</v>
      </c>
      <c r="E52">
        <f>IFERROR(VLOOKUP($C52,[1]BOM!$B$2:$D$104,3,0),0)</f>
        <v>0</v>
      </c>
      <c r="F52">
        <v>0</v>
      </c>
    </row>
    <row r="53" spans="2:6" x14ac:dyDescent="0.3">
      <c r="B53" t="s">
        <v>231</v>
      </c>
      <c r="C53" t="s">
        <v>287</v>
      </c>
      <c r="D53" t="str">
        <f>IFERROR(VLOOKUP($C53,[1]BOM!$B$2:$D$104,2,0),0)</f>
        <v>PCS</v>
      </c>
      <c r="E53">
        <f>IFERROR(VLOOKUP($C53,[1]BOM!$B$2:$D$104,3,0),0)</f>
        <v>0</v>
      </c>
      <c r="F53">
        <v>0</v>
      </c>
    </row>
    <row r="54" spans="2:6" x14ac:dyDescent="0.3">
      <c r="B54" t="s">
        <v>231</v>
      </c>
      <c r="C54" t="s">
        <v>286</v>
      </c>
      <c r="D54" t="str">
        <f>IFERROR(VLOOKUP($C54,[1]BOM!$B$2:$D$104,2,0),0)</f>
        <v>PCS</v>
      </c>
      <c r="E54">
        <f>IFERROR(VLOOKUP($C54,[1]BOM!$B$2:$D$104,3,0),0)</f>
        <v>0</v>
      </c>
      <c r="F54">
        <v>0</v>
      </c>
    </row>
    <row r="55" spans="2:6" x14ac:dyDescent="0.3">
      <c r="B55" t="s">
        <v>231</v>
      </c>
      <c r="C55" t="s">
        <v>285</v>
      </c>
      <c r="D55" t="str">
        <f>IFERROR(VLOOKUP($C55,[1]BOM!$B$2:$D$104,2,0),0)</f>
        <v>PCS</v>
      </c>
      <c r="E55">
        <f>IFERROR(VLOOKUP($C55,[1]BOM!$B$2:$D$104,3,0),0)</f>
        <v>0</v>
      </c>
      <c r="F55">
        <v>0</v>
      </c>
    </row>
    <row r="56" spans="2:6" x14ac:dyDescent="0.3">
      <c r="B56" t="s">
        <v>231</v>
      </c>
      <c r="C56" t="s">
        <v>284</v>
      </c>
      <c r="D56" t="str">
        <f>IFERROR(VLOOKUP($C56,[1]BOM!$B$2:$D$104,2,0),0)</f>
        <v>M</v>
      </c>
      <c r="E56">
        <f>IFERROR(VLOOKUP($C56,[1]BOM!$B$2:$D$104,3,0),0)</f>
        <v>0</v>
      </c>
      <c r="F56">
        <v>2.859</v>
      </c>
    </row>
    <row r="57" spans="2:6" x14ac:dyDescent="0.3">
      <c r="B57" t="s">
        <v>231</v>
      </c>
      <c r="C57" t="s">
        <v>283</v>
      </c>
      <c r="D57" t="str">
        <f>IFERROR(VLOOKUP($C57,[1]BOM!$B$2:$D$104,2,0),0)</f>
        <v>PCS</v>
      </c>
      <c r="E57">
        <f>IFERROR(VLOOKUP($C57,[1]BOM!$B$2:$D$104,3,0),0)</f>
        <v>0</v>
      </c>
      <c r="F57">
        <v>230</v>
      </c>
    </row>
    <row r="58" spans="2:6" x14ac:dyDescent="0.3">
      <c r="B58" t="s">
        <v>231</v>
      </c>
      <c r="C58" t="s">
        <v>282</v>
      </c>
      <c r="D58" t="str">
        <f>IFERROR(VLOOKUP($C58,[1]BOM!$B$2:$D$104,2,0),0)</f>
        <v>PCS</v>
      </c>
      <c r="E58">
        <f>IFERROR(VLOOKUP($C58,[1]BOM!$B$2:$D$104,3,0),0)</f>
        <v>0</v>
      </c>
      <c r="F58">
        <v>51</v>
      </c>
    </row>
    <row r="59" spans="2:6" x14ac:dyDescent="0.3">
      <c r="B59" t="s">
        <v>231</v>
      </c>
      <c r="C59" t="s">
        <v>281</v>
      </c>
      <c r="D59" t="str">
        <f>IFERROR(VLOOKUP($C59,[1]BOM!$B$2:$D$104,2,0),0)</f>
        <v>PCS</v>
      </c>
      <c r="E59">
        <f>IFERROR(VLOOKUP($C59,[1]BOM!$B$2:$D$104,3,0),0)</f>
        <v>0</v>
      </c>
      <c r="F59">
        <v>245</v>
      </c>
    </row>
    <row r="60" spans="2:6" x14ac:dyDescent="0.3">
      <c r="B60" t="s">
        <v>231</v>
      </c>
      <c r="C60" t="s">
        <v>280</v>
      </c>
      <c r="D60" t="str">
        <f>IFERROR(VLOOKUP($C60,[1]BOM!$B$2:$D$104,2,0),0)</f>
        <v>PCS</v>
      </c>
      <c r="E60">
        <f>IFERROR(VLOOKUP($C60,[1]BOM!$B$2:$D$104,3,0),0)</f>
        <v>0</v>
      </c>
      <c r="F60">
        <v>252</v>
      </c>
    </row>
    <row r="61" spans="2:6" x14ac:dyDescent="0.3">
      <c r="B61" t="s">
        <v>231</v>
      </c>
      <c r="C61" t="s">
        <v>279</v>
      </c>
      <c r="D61" t="str">
        <f>IFERROR(VLOOKUP($C61,[1]BOM!$B$2:$D$104,2,0),0)</f>
        <v>PCS</v>
      </c>
      <c r="E61">
        <f>IFERROR(VLOOKUP($C61,[1]BOM!$B$2:$D$104,3,0),0)</f>
        <v>0</v>
      </c>
      <c r="F61">
        <v>210</v>
      </c>
    </row>
    <row r="62" spans="2:6" x14ac:dyDescent="0.3">
      <c r="B62" t="s">
        <v>231</v>
      </c>
      <c r="C62" t="s">
        <v>278</v>
      </c>
      <c r="D62" t="str">
        <f>IFERROR(VLOOKUP($C62,[1]BOM!$B$2:$D$104,2,0),0)</f>
        <v>PCS</v>
      </c>
      <c r="E62">
        <f>IFERROR(VLOOKUP($C62,[1]BOM!$B$2:$D$104,3,0),0)</f>
        <v>0</v>
      </c>
      <c r="F62">
        <v>13</v>
      </c>
    </row>
    <row r="63" spans="2:6" x14ac:dyDescent="0.3">
      <c r="B63" t="s">
        <v>231</v>
      </c>
      <c r="C63" t="s">
        <v>277</v>
      </c>
      <c r="D63" t="str">
        <f>IFERROR(VLOOKUP($C63,[1]BOM!$B$2:$D$104,2,0),0)</f>
        <v>PCS</v>
      </c>
      <c r="E63">
        <f>IFERROR(VLOOKUP($C63,[1]BOM!$B$2:$D$104,3,0),0)</f>
        <v>0</v>
      </c>
      <c r="F63">
        <v>14</v>
      </c>
    </row>
    <row r="64" spans="2:6" x14ac:dyDescent="0.3">
      <c r="B64" t="s">
        <v>231</v>
      </c>
      <c r="C64" t="s">
        <v>276</v>
      </c>
      <c r="D64" t="str">
        <f>IFERROR(VLOOKUP($C64,[1]BOM!$B$2:$D$104,2,0),0)</f>
        <v>PCS</v>
      </c>
      <c r="E64">
        <f>IFERROR(VLOOKUP($C64,[1]BOM!$B$2:$D$104,3,0),0)</f>
        <v>0</v>
      </c>
      <c r="F64">
        <v>15</v>
      </c>
    </row>
    <row r="65" spans="2:6" x14ac:dyDescent="0.3">
      <c r="B65" t="s">
        <v>231</v>
      </c>
      <c r="C65" t="s">
        <v>275</v>
      </c>
      <c r="D65" t="str">
        <f>IFERROR(VLOOKUP($C65,[1]BOM!$B$2:$D$104,2,0),0)</f>
        <v>PCS</v>
      </c>
      <c r="E65">
        <f>IFERROR(VLOOKUP($C65,[1]BOM!$B$2:$D$104,3,0),0)</f>
        <v>0</v>
      </c>
      <c r="F65">
        <v>230</v>
      </c>
    </row>
    <row r="66" spans="2:6" x14ac:dyDescent="0.3">
      <c r="B66" t="s">
        <v>231</v>
      </c>
      <c r="C66" t="s">
        <v>274</v>
      </c>
      <c r="D66" t="str">
        <f>IFERROR(VLOOKUP($C66,[1]BOM!$B$2:$D$104,2,0),0)</f>
        <v>PCS</v>
      </c>
      <c r="E66">
        <f>IFERROR(VLOOKUP($C66,[1]BOM!$B$2:$D$104,3,0),0)</f>
        <v>0</v>
      </c>
      <c r="F66">
        <v>120</v>
      </c>
    </row>
    <row r="67" spans="2:6" x14ac:dyDescent="0.3">
      <c r="B67" t="s">
        <v>231</v>
      </c>
      <c r="C67" t="s">
        <v>273</v>
      </c>
      <c r="D67" t="str">
        <f>IFERROR(VLOOKUP($C67,[1]BOM!$B$2:$D$104,2,0),0)</f>
        <v>PCS</v>
      </c>
      <c r="E67">
        <f>IFERROR(VLOOKUP($C67,[1]BOM!$B$2:$D$104,3,0),0)</f>
        <v>0</v>
      </c>
      <c r="F67">
        <v>30</v>
      </c>
    </row>
    <row r="68" spans="2:6" x14ac:dyDescent="0.3">
      <c r="B68" t="s">
        <v>231</v>
      </c>
      <c r="C68" t="s">
        <v>272</v>
      </c>
      <c r="D68" t="str">
        <f>IFERROR(VLOOKUP($C68,[1]BOM!$B$2:$D$104,2,0),0)</f>
        <v>PCS</v>
      </c>
      <c r="E68">
        <f>IFERROR(VLOOKUP($C68,[1]BOM!$B$2:$D$104,3,0),0)</f>
        <v>0</v>
      </c>
      <c r="F68">
        <v>16</v>
      </c>
    </row>
    <row r="69" spans="2:6" x14ac:dyDescent="0.3">
      <c r="B69" t="s">
        <v>231</v>
      </c>
      <c r="C69" t="s">
        <v>271</v>
      </c>
      <c r="D69" t="str">
        <f>IFERROR(VLOOKUP($C69,[1]BOM!$B$2:$D$104,2,0),0)</f>
        <v>PCS</v>
      </c>
      <c r="E69">
        <f>IFERROR(VLOOKUP($C69,[1]BOM!$B$2:$D$104,3,0),0)</f>
        <v>0</v>
      </c>
      <c r="F69">
        <v>8</v>
      </c>
    </row>
    <row r="70" spans="2:6" x14ac:dyDescent="0.3">
      <c r="B70" t="s">
        <v>231</v>
      </c>
      <c r="C70" t="s">
        <v>270</v>
      </c>
      <c r="D70" t="str">
        <f>IFERROR(VLOOKUP($C70,[1]BOM!$B$2:$D$104,2,0),0)</f>
        <v>PCS</v>
      </c>
      <c r="E70">
        <f>IFERROR(VLOOKUP($C70,[1]BOM!$B$2:$D$104,3,0),0)</f>
        <v>0</v>
      </c>
      <c r="F70">
        <v>120</v>
      </c>
    </row>
    <row r="71" spans="2:6" x14ac:dyDescent="0.3">
      <c r="B71" t="s">
        <v>231</v>
      </c>
      <c r="C71" t="s">
        <v>269</v>
      </c>
      <c r="D71" t="str">
        <f>IFERROR(VLOOKUP($C71,[1]BOM!$B$2:$D$104,2,0),0)</f>
        <v>PCS</v>
      </c>
      <c r="E71">
        <f>IFERROR(VLOOKUP($C71,[1]BOM!$B$2:$D$104,3,0),0)</f>
        <v>0</v>
      </c>
      <c r="F71">
        <v>16</v>
      </c>
    </row>
    <row r="72" spans="2:6" x14ac:dyDescent="0.3">
      <c r="B72" t="s">
        <v>231</v>
      </c>
      <c r="C72" t="s">
        <v>268</v>
      </c>
      <c r="D72" t="str">
        <f>IFERROR(VLOOKUP($C72,[1]BOM!$B$2:$D$104,2,0),0)</f>
        <v>PCS</v>
      </c>
      <c r="E72">
        <f>IFERROR(VLOOKUP($C72,[1]BOM!$B$2:$D$104,3,0),0)</f>
        <v>0</v>
      </c>
      <c r="F72">
        <v>12</v>
      </c>
    </row>
    <row r="73" spans="2:6" x14ac:dyDescent="0.3">
      <c r="B73" t="s">
        <v>231</v>
      </c>
      <c r="C73" t="s">
        <v>267</v>
      </c>
      <c r="D73" t="str">
        <f>IFERROR(VLOOKUP($C73,[1]BOM!$B$2:$D$104,2,0),0)</f>
        <v>M</v>
      </c>
      <c r="E73">
        <f>IFERROR(VLOOKUP($C73,[1]BOM!$B$2:$D$104,3,0),0)</f>
        <v>0</v>
      </c>
      <c r="F73">
        <v>0</v>
      </c>
    </row>
    <row r="74" spans="2:6" x14ac:dyDescent="0.3">
      <c r="B74" t="s">
        <v>231</v>
      </c>
      <c r="C74" t="s">
        <v>266</v>
      </c>
      <c r="D74" t="str">
        <f>IFERROR(VLOOKUP($C74,[1]BOM!$B$2:$D$104,2,0),0)</f>
        <v>PCS</v>
      </c>
      <c r="E74">
        <f>IFERROR(VLOOKUP($C74,[1]BOM!$B$2:$D$104,3,0),0)</f>
        <v>0</v>
      </c>
      <c r="F74">
        <v>40</v>
      </c>
    </row>
    <row r="75" spans="2:6" x14ac:dyDescent="0.3">
      <c r="B75" t="s">
        <v>231</v>
      </c>
      <c r="C75" t="s">
        <v>265</v>
      </c>
      <c r="D75" t="str">
        <f>IFERROR(VLOOKUP($C75,[1]BOM!$B$2:$D$104,2,0),0)</f>
        <v>PCS</v>
      </c>
      <c r="E75">
        <f>IFERROR(VLOOKUP($C75,[1]BOM!$B$2:$D$104,3,0),0)</f>
        <v>0</v>
      </c>
      <c r="F75">
        <v>24</v>
      </c>
    </row>
    <row r="76" spans="2:6" x14ac:dyDescent="0.3">
      <c r="B76" t="s">
        <v>231</v>
      </c>
      <c r="C76" t="s">
        <v>261</v>
      </c>
      <c r="D76" t="str">
        <f>IFERROR(VLOOKUP($C76,[1]BOM!$B$2:$D$104,2,0),0)</f>
        <v>Kg</v>
      </c>
      <c r="E76">
        <f>IFERROR(VLOOKUP($C76,[1]BOM!$B$2:$D$104,3,0),0)</f>
        <v>0</v>
      </c>
      <c r="F76">
        <v>0</v>
      </c>
    </row>
    <row r="77" spans="2:6" x14ac:dyDescent="0.3">
      <c r="B77" t="s">
        <v>231</v>
      </c>
      <c r="C77" t="s">
        <v>249</v>
      </c>
      <c r="D77" t="str">
        <f>IFERROR(VLOOKUP($C77,[1]BOM!$B$2:$D$104,2,0),0)</f>
        <v>PCS</v>
      </c>
      <c r="E77">
        <f>IFERROR(VLOOKUP($C77,[1]BOM!$B$2:$D$104,3,0),0)</f>
        <v>0</v>
      </c>
      <c r="F77">
        <v>4</v>
      </c>
    </row>
    <row r="78" spans="2:6" x14ac:dyDescent="0.3">
      <c r="B78" t="s">
        <v>231</v>
      </c>
      <c r="C78" t="s">
        <v>248</v>
      </c>
      <c r="D78" t="str">
        <f>IFERROR(VLOOKUP($C78,[1]BOM!$B$2:$D$104,2,0),0)</f>
        <v>PCS</v>
      </c>
      <c r="E78">
        <f>IFERROR(VLOOKUP($C78,[1]BOM!$B$2:$D$104,3,0),0)</f>
        <v>0</v>
      </c>
      <c r="F78">
        <v>7</v>
      </c>
    </row>
    <row r="79" spans="2:6" x14ac:dyDescent="0.3">
      <c r="B79" t="s">
        <v>231</v>
      </c>
      <c r="C79" t="s">
        <v>247</v>
      </c>
      <c r="D79" t="str">
        <f>IFERROR(VLOOKUP($C79,[1]BOM!$B$2:$D$104,2,0),0)</f>
        <v>PCS</v>
      </c>
      <c r="E79">
        <f>IFERROR(VLOOKUP($C79,[1]BOM!$B$2:$D$104,3,0),0)</f>
        <v>0</v>
      </c>
      <c r="F79">
        <v>1</v>
      </c>
    </row>
    <row r="80" spans="2:6" x14ac:dyDescent="0.3">
      <c r="B80" t="s">
        <v>231</v>
      </c>
      <c r="C80" t="s">
        <v>246</v>
      </c>
      <c r="D80" t="str">
        <f>IFERROR(VLOOKUP($C80,[1]BOM!$B$2:$D$104,2,0),0)</f>
        <v>PCS</v>
      </c>
      <c r="E80">
        <f>IFERROR(VLOOKUP($C80,[1]BOM!$B$2:$D$104,3,0),0)</f>
        <v>0</v>
      </c>
      <c r="F80">
        <v>1</v>
      </c>
    </row>
    <row r="81" spans="2:6" x14ac:dyDescent="0.3">
      <c r="B81" t="s">
        <v>231</v>
      </c>
      <c r="C81" t="s">
        <v>244</v>
      </c>
      <c r="D81" t="str">
        <f>IFERROR(VLOOKUP($C81,[1]BOM!$B$2:$D$104,2,0),0)</f>
        <v>M</v>
      </c>
      <c r="E81">
        <f>IFERROR(VLOOKUP($C81,[1]BOM!$B$2:$D$104,3,0),0)</f>
        <v>0</v>
      </c>
      <c r="F81">
        <v>170</v>
      </c>
    </row>
    <row r="82" spans="2:6" x14ac:dyDescent="0.3">
      <c r="B82" t="s">
        <v>231</v>
      </c>
      <c r="C82" t="s">
        <v>243</v>
      </c>
      <c r="D82" t="str">
        <f>IFERROR(VLOOKUP($C82,[1]BOM!$B$2:$D$104,2,0),0)</f>
        <v>PCS</v>
      </c>
      <c r="E82">
        <f>IFERROR(VLOOKUP($C82,[1]BOM!$B$2:$D$104,3,0),0)</f>
        <v>0</v>
      </c>
      <c r="F82">
        <v>0.28000000000000003</v>
      </c>
    </row>
    <row r="83" spans="2:6" x14ac:dyDescent="0.3">
      <c r="B83" t="s">
        <v>231</v>
      </c>
      <c r="C83" t="s">
        <v>242</v>
      </c>
      <c r="D83" t="str">
        <f>IFERROR(VLOOKUP($C83,[1]BOM!$B$2:$D$104,2,0),0)</f>
        <v>PCS</v>
      </c>
      <c r="E83">
        <f>IFERROR(VLOOKUP($C83,[1]BOM!$B$2:$D$104,3,0),0)</f>
        <v>0</v>
      </c>
      <c r="F83">
        <v>0.5</v>
      </c>
    </row>
    <row r="84" spans="2:6" x14ac:dyDescent="0.3">
      <c r="B84" t="s">
        <v>231</v>
      </c>
      <c r="C84" t="s">
        <v>241</v>
      </c>
      <c r="D84" t="str">
        <f>IFERROR(VLOOKUP($C84,[1]BOM!$B$2:$D$104,2,0),0)</f>
        <v>M</v>
      </c>
      <c r="E84">
        <f>IFERROR(VLOOKUP($C84,[1]BOM!$B$2:$D$104,3,0),0)</f>
        <v>0</v>
      </c>
      <c r="F84">
        <v>24</v>
      </c>
    </row>
    <row r="85" spans="2:6" x14ac:dyDescent="0.3">
      <c r="B85" t="s">
        <v>231</v>
      </c>
      <c r="C85" t="s">
        <v>239</v>
      </c>
      <c r="D85" t="str">
        <f>IFERROR(VLOOKUP($C85,[1]BOM!$B$2:$D$104,2,0),0)</f>
        <v>PCS</v>
      </c>
      <c r="E85">
        <f>IFERROR(VLOOKUP($C85,[1]BOM!$B$2:$D$104,3,0),0)</f>
        <v>0</v>
      </c>
      <c r="F85">
        <v>0</v>
      </c>
    </row>
    <row r="86" spans="2:6" x14ac:dyDescent="0.3">
      <c r="B86" t="s">
        <v>231</v>
      </c>
      <c r="C86" t="s">
        <v>238</v>
      </c>
      <c r="D86" t="str">
        <f>IFERROR(VLOOKUP($C86,[1]BOM!$B$2:$D$104,2,0),0)</f>
        <v>PCS</v>
      </c>
      <c r="E86">
        <f>IFERROR(VLOOKUP($C86,[1]BOM!$B$2:$D$104,3,0),0)</f>
        <v>0</v>
      </c>
      <c r="F86">
        <v>570</v>
      </c>
    </row>
    <row r="87" spans="2:6" x14ac:dyDescent="0.3">
      <c r="B87" t="s">
        <v>231</v>
      </c>
      <c r="C87" t="s">
        <v>230</v>
      </c>
      <c r="D87" t="str">
        <f>IFERROR(VLOOKUP($C87,[1]BOM!$B$2:$D$104,2,0),0)</f>
        <v>PCS</v>
      </c>
      <c r="E87">
        <f>IFERROR(VLOOKUP($C87,[1]BOM!$B$2:$D$104,3,0),0)</f>
        <v>0</v>
      </c>
      <c r="F87">
        <v>61</v>
      </c>
    </row>
    <row r="88" spans="2:6" x14ac:dyDescent="0.3">
      <c r="B88" t="s">
        <v>366</v>
      </c>
      <c r="C88" t="s">
        <v>342</v>
      </c>
      <c r="D88" t="str">
        <f>IFERROR(VLOOKUP($C88,[1]BOM!$B$2:$D$104,2,0),0)</f>
        <v>M</v>
      </c>
      <c r="E88" t="str">
        <f>IFERROR(VLOOKUP($C88,[1]BOM!$B$2:$D$104,3,0),0)</f>
        <v>KILO-GRAMMES</v>
      </c>
      <c r="F88">
        <v>0</v>
      </c>
    </row>
    <row r="89" spans="2:6" x14ac:dyDescent="0.3">
      <c r="B89" t="s">
        <v>366</v>
      </c>
      <c r="C89" t="s">
        <v>341</v>
      </c>
      <c r="D89" t="str">
        <f>IFERROR(VLOOKUP($C89,[1]BOM!$B$2:$D$104,2,0),0)</f>
        <v>M</v>
      </c>
      <c r="E89" t="str">
        <f>IFERROR(VLOOKUP($C89,[1]BOM!$B$2:$D$104,3,0),0)</f>
        <v>METRES</v>
      </c>
      <c r="F89">
        <v>0</v>
      </c>
    </row>
    <row r="90" spans="2:6" x14ac:dyDescent="0.3">
      <c r="B90" t="s">
        <v>366</v>
      </c>
      <c r="C90" t="s">
        <v>338</v>
      </c>
      <c r="D90" t="str">
        <f>IFERROR(VLOOKUP($C90,[1]BOM!$B$2:$D$104,2,0),0)</f>
        <v>M</v>
      </c>
      <c r="E90" t="str">
        <f>IFERROR(VLOOKUP($C90,[1]BOM!$B$2:$D$104,3,0),0)</f>
        <v>METRES</v>
      </c>
      <c r="F90">
        <v>0.48</v>
      </c>
    </row>
    <row r="91" spans="2:6" x14ac:dyDescent="0.3">
      <c r="B91" t="s">
        <v>366</v>
      </c>
      <c r="C91" t="s">
        <v>317</v>
      </c>
      <c r="D91" t="str">
        <f>IFERROR(VLOOKUP($C91,[1]BOM!$B$2:$D$104,2,0),0)</f>
        <v>PCS</v>
      </c>
      <c r="E91" t="str">
        <f>IFERROR(VLOOKUP($C91,[1]BOM!$B$2:$D$104,3,0),0)</f>
        <v>PIECES</v>
      </c>
      <c r="F91">
        <v>0</v>
      </c>
    </row>
    <row r="92" spans="2:6" x14ac:dyDescent="0.3">
      <c r="B92" t="s">
        <v>366</v>
      </c>
      <c r="C92" t="s">
        <v>310</v>
      </c>
      <c r="D92" t="str">
        <f>IFERROR(VLOOKUP($C92,[1]BOM!$B$2:$D$104,2,0),0)</f>
        <v>PCS</v>
      </c>
      <c r="E92" t="str">
        <f>IFERROR(VLOOKUP($C92,[1]BOM!$B$2:$D$104,3,0),0)</f>
        <v>KILO-GRAMMES</v>
      </c>
      <c r="F92">
        <v>0.72000000000000008</v>
      </c>
    </row>
    <row r="93" spans="2:6" x14ac:dyDescent="0.3">
      <c r="B93" t="s">
        <v>366</v>
      </c>
      <c r="C93" t="s">
        <v>308</v>
      </c>
      <c r="D93" t="str">
        <f>IFERROR(VLOOKUP($C93,[1]BOM!$B$2:$D$104,2,0),0)</f>
        <v>PCS</v>
      </c>
      <c r="E93" t="str">
        <f>IFERROR(VLOOKUP($C93,[1]BOM!$B$2:$D$104,3,0),0)</f>
        <v>KILO-GRAMMES</v>
      </c>
      <c r="F93">
        <v>0.09</v>
      </c>
    </row>
    <row r="94" spans="2:6" x14ac:dyDescent="0.3">
      <c r="B94" t="s">
        <v>366</v>
      </c>
      <c r="C94" t="s">
        <v>296</v>
      </c>
      <c r="D94" t="str">
        <f>IFERROR(VLOOKUP($C94,[1]BOM!$B$2:$D$104,2,0),0)</f>
        <v>PCS</v>
      </c>
      <c r="E94" t="str">
        <f>IFERROR(VLOOKUP($C94,[1]BOM!$B$2:$D$104,3,0),0)</f>
        <v>PIECES</v>
      </c>
      <c r="F94">
        <v>2</v>
      </c>
    </row>
    <row r="95" spans="2:6" x14ac:dyDescent="0.3">
      <c r="B95" t="s">
        <v>366</v>
      </c>
      <c r="C95" t="s">
        <v>263</v>
      </c>
      <c r="D95" t="str">
        <f>IFERROR(VLOOKUP($C95,[1]BOM!$B$2:$D$104,2,0),0)</f>
        <v>PCS</v>
      </c>
      <c r="E95" t="str">
        <f>IFERROR(VLOOKUP($C95,[1]BOM!$B$2:$D$104,3,0),0)</f>
        <v>PIECES</v>
      </c>
      <c r="F95">
        <v>20</v>
      </c>
    </row>
    <row r="96" spans="2:6" x14ac:dyDescent="0.3">
      <c r="B96" t="s">
        <v>366</v>
      </c>
      <c r="C96" t="s">
        <v>259</v>
      </c>
      <c r="D96" t="str">
        <f>IFERROR(VLOOKUP($C96,[1]BOM!$B$2:$D$104,2,0),0)</f>
        <v>M2</v>
      </c>
      <c r="E96" t="str">
        <f>IFERROR(VLOOKUP($C96,[1]BOM!$B$2:$D$104,3,0),0)</f>
        <v>SQUARE METRES</v>
      </c>
      <c r="F96">
        <v>42.815899999999999</v>
      </c>
    </row>
    <row r="97" spans="2:6" x14ac:dyDescent="0.3">
      <c r="B97" t="s">
        <v>366</v>
      </c>
      <c r="C97" t="s">
        <v>258</v>
      </c>
      <c r="D97" t="str">
        <f>IFERROR(VLOOKUP($C97,[1]BOM!$B$2:$D$104,2,0),0)</f>
        <v>M2</v>
      </c>
      <c r="E97" t="str">
        <f>IFERROR(VLOOKUP($C97,[1]BOM!$B$2:$D$104,3,0),0)</f>
        <v>SQUARE METRES</v>
      </c>
      <c r="F97">
        <v>29.675759999999997</v>
      </c>
    </row>
    <row r="98" spans="2:6" x14ac:dyDescent="0.3">
      <c r="B98" t="s">
        <v>366</v>
      </c>
      <c r="C98" t="s">
        <v>255</v>
      </c>
      <c r="D98" t="str">
        <f>IFERROR(VLOOKUP($C98,[1]BOM!$B$2:$D$104,2,0),0)</f>
        <v>M2</v>
      </c>
      <c r="E98" t="str">
        <f>IFERROR(VLOOKUP($C98,[1]BOM!$B$2:$D$104,3,0),0)</f>
        <v>SQUARE METRES</v>
      </c>
      <c r="F98">
        <v>9.18</v>
      </c>
    </row>
    <row r="99" spans="2:6" x14ac:dyDescent="0.3">
      <c r="B99" t="s">
        <v>366</v>
      </c>
      <c r="C99" t="s">
        <v>253</v>
      </c>
      <c r="D99" t="str">
        <f>IFERROR(VLOOKUP($C99,[1]BOM!$B$2:$D$104,2,0),0)</f>
        <v>M</v>
      </c>
      <c r="E99" t="str">
        <f>IFERROR(VLOOKUP($C99,[1]BOM!$B$2:$D$104,3,0),0)</f>
        <v>METRES</v>
      </c>
      <c r="F99">
        <v>5</v>
      </c>
    </row>
    <row r="100" spans="2:6" x14ac:dyDescent="0.3">
      <c r="B100" t="s">
        <v>366</v>
      </c>
      <c r="C100" t="s">
        <v>251</v>
      </c>
      <c r="D100" t="str">
        <f>IFERROR(VLOOKUP($C100,[1]BOM!$B$2:$D$104,2,0),0)</f>
        <v>M</v>
      </c>
      <c r="E100" t="str">
        <f>IFERROR(VLOOKUP($C100,[1]BOM!$B$2:$D$104,3,0),0)</f>
        <v>METRES</v>
      </c>
      <c r="F100">
        <v>21</v>
      </c>
    </row>
    <row r="101" spans="2:6" x14ac:dyDescent="0.3">
      <c r="B101" t="s">
        <v>366</v>
      </c>
      <c r="C101" t="s">
        <v>237</v>
      </c>
      <c r="D101" t="str">
        <f>IFERROR(VLOOKUP($C101,[1]BOM!$B$2:$D$104,2,0),0)</f>
        <v>M2</v>
      </c>
      <c r="E101" t="str">
        <f>IFERROR(VLOOKUP($C101,[1]BOM!$B$2:$D$104,3,0),0)</f>
        <v>SQUARE METRES</v>
      </c>
      <c r="F101">
        <v>13.475999999999999</v>
      </c>
    </row>
    <row r="102" spans="2:6" x14ac:dyDescent="0.3">
      <c r="B102" t="s">
        <v>366</v>
      </c>
      <c r="C102" t="s">
        <v>234</v>
      </c>
      <c r="D102" t="str">
        <f>IFERROR(VLOOKUP($C102,[1]BOM!$B$2:$D$104,2,0),0)</f>
        <v>M2</v>
      </c>
      <c r="E102" t="str">
        <f>IFERROR(VLOOKUP($C102,[1]BOM!$B$2:$D$104,3,0),0)</f>
        <v>SQUARE METRES</v>
      </c>
      <c r="F102">
        <v>24.883400000000002</v>
      </c>
    </row>
    <row r="103" spans="2:6" x14ac:dyDescent="0.3">
      <c r="B103" t="s">
        <v>366</v>
      </c>
      <c r="C103" t="s">
        <v>227</v>
      </c>
      <c r="D103" t="s">
        <v>229</v>
      </c>
      <c r="E103">
        <f>IFERROR(VLOOKUP($C103,[1]BOM!$B$2:$D$104,3,0),0)</f>
        <v>0</v>
      </c>
      <c r="F103">
        <v>2</v>
      </c>
    </row>
    <row r="104" spans="2:6" x14ac:dyDescent="0.3">
      <c r="B104" t="s">
        <v>366</v>
      </c>
      <c r="C104" t="s">
        <v>225</v>
      </c>
      <c r="D104" t="s">
        <v>229</v>
      </c>
      <c r="E104">
        <f>IFERROR(VLOOKUP($C104,[1]BOM!$B$2:$D$104,3,0),0)</f>
        <v>0</v>
      </c>
      <c r="F104">
        <v>8</v>
      </c>
    </row>
  </sheetData>
  <autoFilter ref="B1:F104" xr:uid="{B6D1676D-ED70-489F-92FE-67C8301551B8}">
    <sortState xmlns:xlrd2="http://schemas.microsoft.com/office/spreadsheetml/2017/richdata2" ref="B2:F104">
      <sortCondition descending="1" ref="B1:B104"/>
    </sortState>
  </autoFilter>
  <conditionalFormatting sqref="C1:C1048576">
    <cfRule type="duplicateValues" dxfId="41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4"/>
  <sheetViews>
    <sheetView showGridLines="0" zoomScale="115" zoomScaleNormal="115" workbookViewId="0">
      <pane xSplit="4" ySplit="1" topLeftCell="J9" activePane="bottomRight" state="frozen"/>
      <selection pane="topRight" activeCell="E1" sqref="E1"/>
      <selection pane="bottomLeft" activeCell="A2" sqref="A2"/>
      <selection pane="bottomRight" activeCell="L58" sqref="L58"/>
    </sheetView>
  </sheetViews>
  <sheetFormatPr defaultRowHeight="14.4" x14ac:dyDescent="0.3"/>
  <cols>
    <col min="1" max="1" width="11.109375" bestFit="1" customWidth="1"/>
    <col min="2" max="2" width="28.21875" bestFit="1" customWidth="1"/>
    <col min="3" max="3" width="23.88671875" bestFit="1" customWidth="1"/>
    <col min="4" max="4" width="50" bestFit="1" customWidth="1"/>
    <col min="5" max="5" width="24" bestFit="1" customWidth="1"/>
    <col min="6" max="6" width="21" bestFit="1" customWidth="1"/>
    <col min="7" max="7" width="18.44140625" bestFit="1" customWidth="1"/>
    <col min="8" max="8" width="20.33203125" bestFit="1" customWidth="1"/>
    <col min="9" max="9" width="10.21875" bestFit="1" customWidth="1"/>
    <col min="10" max="10" width="5.109375" bestFit="1" customWidth="1"/>
    <col min="12" max="12" width="10.441406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1" x14ac:dyDescent="0.3">
      <c r="A2" s="3" t="s">
        <v>21</v>
      </c>
      <c r="B2" s="3" t="s">
        <v>22</v>
      </c>
      <c r="C2" s="3" t="s">
        <v>23</v>
      </c>
      <c r="D2" s="3" t="s">
        <v>24</v>
      </c>
      <c r="E2" s="3">
        <v>0.12</v>
      </c>
      <c r="F2" s="4">
        <v>85</v>
      </c>
      <c r="G2" s="5">
        <v>44621</v>
      </c>
      <c r="H2" s="5">
        <v>44927</v>
      </c>
      <c r="I2" s="3" t="s">
        <v>14</v>
      </c>
      <c r="J2" s="3">
        <v>2023</v>
      </c>
      <c r="K2">
        <v>1</v>
      </c>
    </row>
    <row r="3" spans="1:11" x14ac:dyDescent="0.3">
      <c r="A3" s="3" t="s">
        <v>130</v>
      </c>
      <c r="B3" s="3" t="s">
        <v>57</v>
      </c>
      <c r="C3" s="3" t="s">
        <v>47</v>
      </c>
      <c r="D3" s="3" t="s">
        <v>26</v>
      </c>
      <c r="E3" s="3">
        <v>0.32</v>
      </c>
      <c r="F3" s="4">
        <v>35</v>
      </c>
      <c r="G3" s="5">
        <v>44896</v>
      </c>
      <c r="H3" s="5">
        <v>44927</v>
      </c>
      <c r="I3" s="3" t="s">
        <v>36</v>
      </c>
      <c r="J3" s="3">
        <v>2023</v>
      </c>
      <c r="K3">
        <v>2</v>
      </c>
    </row>
    <row r="4" spans="1:11" x14ac:dyDescent="0.3">
      <c r="A4" s="3" t="s">
        <v>114</v>
      </c>
      <c r="B4" s="3" t="s">
        <v>18</v>
      </c>
      <c r="C4" s="3" t="s">
        <v>19</v>
      </c>
      <c r="D4" s="3" t="s">
        <v>20</v>
      </c>
      <c r="E4" s="3">
        <v>0.22</v>
      </c>
      <c r="F4" s="4">
        <v>71</v>
      </c>
      <c r="G4" s="5">
        <v>44743</v>
      </c>
      <c r="H4" s="5">
        <v>44958</v>
      </c>
      <c r="I4" s="3" t="s">
        <v>14</v>
      </c>
      <c r="J4" s="3">
        <v>2023</v>
      </c>
      <c r="K4">
        <v>3</v>
      </c>
    </row>
    <row r="5" spans="1:11" x14ac:dyDescent="0.3">
      <c r="A5" s="3" t="s">
        <v>129</v>
      </c>
      <c r="B5" s="3" t="s">
        <v>55</v>
      </c>
      <c r="C5" s="3" t="s">
        <v>56</v>
      </c>
      <c r="D5" s="3" t="s">
        <v>30</v>
      </c>
      <c r="E5" s="3">
        <v>0.16</v>
      </c>
      <c r="F5" s="4">
        <v>65</v>
      </c>
      <c r="G5" s="5">
        <v>44774</v>
      </c>
      <c r="H5" s="5">
        <v>44958</v>
      </c>
      <c r="I5" s="3" t="s">
        <v>14</v>
      </c>
      <c r="J5" s="3">
        <v>2023</v>
      </c>
      <c r="K5">
        <v>4</v>
      </c>
    </row>
    <row r="6" spans="1:11" x14ac:dyDescent="0.3">
      <c r="A6" s="3" t="s">
        <v>54</v>
      </c>
      <c r="B6" s="3" t="s">
        <v>40</v>
      </c>
      <c r="C6" s="3" t="s">
        <v>12</v>
      </c>
      <c r="D6" s="3" t="s">
        <v>26</v>
      </c>
      <c r="E6" s="3">
        <v>0.36</v>
      </c>
      <c r="F6" s="4">
        <v>28</v>
      </c>
      <c r="G6" s="5">
        <v>44927</v>
      </c>
      <c r="H6" s="5">
        <v>45078</v>
      </c>
      <c r="I6" s="3" t="s">
        <v>14</v>
      </c>
      <c r="J6" s="3">
        <v>2023</v>
      </c>
      <c r="K6">
        <v>5</v>
      </c>
    </row>
    <row r="7" spans="1:11" x14ac:dyDescent="0.3">
      <c r="A7" s="3" t="s">
        <v>113</v>
      </c>
      <c r="B7" s="3" t="s">
        <v>15</v>
      </c>
      <c r="C7" s="3" t="s">
        <v>16</v>
      </c>
      <c r="D7" s="3" t="s">
        <v>17</v>
      </c>
      <c r="E7" s="3">
        <v>0.27</v>
      </c>
      <c r="F7" s="4">
        <v>30</v>
      </c>
      <c r="G7" s="5">
        <v>44835</v>
      </c>
      <c r="H7" s="5">
        <v>45108</v>
      </c>
      <c r="I7" s="3" t="s">
        <v>14</v>
      </c>
      <c r="J7" s="3">
        <v>2023</v>
      </c>
      <c r="K7">
        <v>6</v>
      </c>
    </row>
    <row r="8" spans="1:11" x14ac:dyDescent="0.3">
      <c r="A8" s="3" t="s">
        <v>31</v>
      </c>
      <c r="B8" s="3" t="s">
        <v>32</v>
      </c>
      <c r="C8" s="3" t="s">
        <v>19</v>
      </c>
      <c r="D8" s="3" t="s">
        <v>13</v>
      </c>
      <c r="E8" s="3">
        <v>0.22</v>
      </c>
      <c r="F8" s="4">
        <v>34</v>
      </c>
      <c r="G8" s="5">
        <v>44986</v>
      </c>
      <c r="H8" s="5">
        <v>45108</v>
      </c>
      <c r="I8" s="3" t="s">
        <v>14</v>
      </c>
      <c r="J8" s="3">
        <v>2023</v>
      </c>
      <c r="K8">
        <v>7</v>
      </c>
    </row>
    <row r="9" spans="1:11" x14ac:dyDescent="0.3">
      <c r="A9" s="3" t="s">
        <v>122</v>
      </c>
      <c r="B9" s="3" t="s">
        <v>28</v>
      </c>
      <c r="C9" s="3" t="s">
        <v>25</v>
      </c>
      <c r="D9" s="3" t="s">
        <v>17</v>
      </c>
      <c r="E9" s="3">
        <v>0.3</v>
      </c>
      <c r="F9" s="4">
        <v>85</v>
      </c>
      <c r="G9" s="5">
        <v>45017</v>
      </c>
      <c r="H9" s="5">
        <v>45108</v>
      </c>
      <c r="I9" s="3" t="s">
        <v>14</v>
      </c>
      <c r="J9" s="3">
        <v>2023</v>
      </c>
      <c r="K9">
        <v>8</v>
      </c>
    </row>
    <row r="10" spans="1:11" x14ac:dyDescent="0.3">
      <c r="A10" s="3" t="s">
        <v>10</v>
      </c>
      <c r="B10" s="3" t="s">
        <v>11</v>
      </c>
      <c r="C10" s="3" t="s">
        <v>12</v>
      </c>
      <c r="D10" s="3" t="s">
        <v>13</v>
      </c>
      <c r="E10" s="3">
        <v>0.2</v>
      </c>
      <c r="F10" s="4">
        <v>86</v>
      </c>
      <c r="G10" s="5">
        <v>45047</v>
      </c>
      <c r="H10" s="5">
        <v>45139</v>
      </c>
      <c r="I10" s="3" t="s">
        <v>14</v>
      </c>
      <c r="J10" s="3">
        <v>2023</v>
      </c>
      <c r="K10">
        <v>9</v>
      </c>
    </row>
    <row r="11" spans="1:11" x14ac:dyDescent="0.3">
      <c r="A11" s="3" t="s">
        <v>118</v>
      </c>
      <c r="B11" s="3" t="s">
        <v>35</v>
      </c>
      <c r="C11" s="3" t="s">
        <v>19</v>
      </c>
      <c r="D11" s="3" t="s">
        <v>17</v>
      </c>
      <c r="E11" s="3">
        <v>0.2</v>
      </c>
      <c r="F11" s="4">
        <v>54</v>
      </c>
      <c r="G11" s="5">
        <v>44986</v>
      </c>
      <c r="H11" s="5">
        <v>45139</v>
      </c>
      <c r="I11" s="3" t="s">
        <v>36</v>
      </c>
      <c r="J11" s="3">
        <v>2023</v>
      </c>
      <c r="K11">
        <v>10</v>
      </c>
    </row>
    <row r="12" spans="1:11" x14ac:dyDescent="0.3">
      <c r="A12" s="3" t="s">
        <v>37</v>
      </c>
      <c r="B12" s="3" t="s">
        <v>38</v>
      </c>
      <c r="C12" s="3" t="s">
        <v>39</v>
      </c>
      <c r="D12" s="3" t="s">
        <v>30</v>
      </c>
      <c r="E12" s="3">
        <v>0.38</v>
      </c>
      <c r="F12" s="4">
        <v>75</v>
      </c>
      <c r="G12" s="5">
        <v>44896</v>
      </c>
      <c r="H12" s="5">
        <v>45139</v>
      </c>
      <c r="I12" s="3" t="s">
        <v>14</v>
      </c>
      <c r="J12" s="3">
        <v>2023</v>
      </c>
      <c r="K12">
        <v>11</v>
      </c>
    </row>
    <row r="13" spans="1:11" x14ac:dyDescent="0.3">
      <c r="A13" s="3" t="s">
        <v>45</v>
      </c>
      <c r="B13" s="3" t="s">
        <v>46</v>
      </c>
      <c r="C13" s="3" t="s">
        <v>12</v>
      </c>
      <c r="D13" s="3" t="s">
        <v>34</v>
      </c>
      <c r="E13" s="3">
        <v>0.28999999999999998</v>
      </c>
      <c r="F13" s="4">
        <v>77</v>
      </c>
      <c r="G13" s="5">
        <v>44986</v>
      </c>
      <c r="H13" s="5">
        <v>45139</v>
      </c>
      <c r="I13" s="3" t="s">
        <v>14</v>
      </c>
      <c r="J13" s="3">
        <v>2023</v>
      </c>
      <c r="K13">
        <v>12</v>
      </c>
    </row>
    <row r="14" spans="1:11" x14ac:dyDescent="0.3">
      <c r="A14" s="3" t="s">
        <v>48</v>
      </c>
      <c r="B14" s="3" t="s">
        <v>33</v>
      </c>
      <c r="C14" s="3" t="s">
        <v>19</v>
      </c>
      <c r="D14" s="3" t="s">
        <v>49</v>
      </c>
      <c r="E14" s="3">
        <v>0.4</v>
      </c>
      <c r="F14" s="4">
        <v>66</v>
      </c>
      <c r="G14" s="5">
        <v>44986</v>
      </c>
      <c r="H14" s="5">
        <v>45139</v>
      </c>
      <c r="I14" s="3" t="s">
        <v>14</v>
      </c>
      <c r="J14" s="3">
        <v>2023</v>
      </c>
      <c r="K14">
        <v>13</v>
      </c>
    </row>
    <row r="15" spans="1:11" x14ac:dyDescent="0.3">
      <c r="A15" s="3" t="s">
        <v>42</v>
      </c>
      <c r="B15" s="3" t="s">
        <v>43</v>
      </c>
      <c r="C15" s="3" t="s">
        <v>44</v>
      </c>
      <c r="D15" s="3" t="s">
        <v>26</v>
      </c>
      <c r="E15" s="3">
        <v>0.24</v>
      </c>
      <c r="F15" s="4">
        <v>46</v>
      </c>
      <c r="G15" s="5">
        <v>44896</v>
      </c>
      <c r="H15" s="5">
        <v>45170</v>
      </c>
      <c r="I15" s="3" t="s">
        <v>14</v>
      </c>
      <c r="J15" s="3">
        <v>2023</v>
      </c>
      <c r="K15">
        <v>14</v>
      </c>
    </row>
    <row r="16" spans="1:11" x14ac:dyDescent="0.3">
      <c r="A16" s="3" t="s">
        <v>52</v>
      </c>
      <c r="B16" s="3" t="s">
        <v>28</v>
      </c>
      <c r="C16" s="3" t="s">
        <v>16</v>
      </c>
      <c r="D16" s="3" t="s">
        <v>30</v>
      </c>
      <c r="E16" s="3">
        <v>0.11</v>
      </c>
      <c r="F16" s="4">
        <v>52</v>
      </c>
      <c r="G16" s="5">
        <v>44958</v>
      </c>
      <c r="H16" s="5">
        <v>45170</v>
      </c>
      <c r="I16" s="3" t="s">
        <v>14</v>
      </c>
      <c r="J16" s="3">
        <v>2023</v>
      </c>
      <c r="K16">
        <v>15</v>
      </c>
    </row>
    <row r="17" spans="1:12" x14ac:dyDescent="0.3">
      <c r="A17" s="3" t="s">
        <v>120</v>
      </c>
      <c r="B17" s="3" t="s">
        <v>41</v>
      </c>
      <c r="C17" s="3" t="s">
        <v>12</v>
      </c>
      <c r="D17" s="3" t="s">
        <v>13</v>
      </c>
      <c r="E17" s="3">
        <v>0.26</v>
      </c>
      <c r="F17" s="4">
        <v>37</v>
      </c>
      <c r="G17" s="5">
        <v>44927</v>
      </c>
      <c r="H17" s="5">
        <v>45200</v>
      </c>
      <c r="I17" s="3" t="s">
        <v>14</v>
      </c>
      <c r="J17" s="3">
        <v>2023</v>
      </c>
      <c r="K17">
        <v>16</v>
      </c>
    </row>
    <row r="18" spans="1:12" x14ac:dyDescent="0.3">
      <c r="A18" s="3" t="s">
        <v>126</v>
      </c>
      <c r="B18" s="3" t="s">
        <v>51</v>
      </c>
      <c r="C18" s="3" t="s">
        <v>23</v>
      </c>
      <c r="D18" s="3" t="s">
        <v>17</v>
      </c>
      <c r="E18" s="3">
        <v>0.1</v>
      </c>
      <c r="F18" s="4">
        <v>44</v>
      </c>
      <c r="G18" s="5">
        <v>45108</v>
      </c>
      <c r="H18" s="5">
        <v>45200</v>
      </c>
      <c r="I18" s="3" t="s">
        <v>14</v>
      </c>
      <c r="J18" s="3">
        <v>2023</v>
      </c>
      <c r="K18">
        <v>17</v>
      </c>
    </row>
    <row r="19" spans="1:12" x14ac:dyDescent="0.3">
      <c r="A19" s="3" t="s">
        <v>119</v>
      </c>
      <c r="B19" s="3" t="s">
        <v>40</v>
      </c>
      <c r="C19" s="3" t="s">
        <v>12</v>
      </c>
      <c r="D19" s="3" t="s">
        <v>26</v>
      </c>
      <c r="E19" s="3">
        <v>0.36</v>
      </c>
      <c r="F19" s="4">
        <v>88</v>
      </c>
      <c r="G19" s="5">
        <v>45078</v>
      </c>
      <c r="H19" s="5">
        <v>45231</v>
      </c>
      <c r="I19" s="3" t="s">
        <v>14</v>
      </c>
      <c r="J19" s="3">
        <v>2023</v>
      </c>
      <c r="K19">
        <v>18</v>
      </c>
    </row>
    <row r="20" spans="1:12" x14ac:dyDescent="0.3">
      <c r="A20" s="3" t="s">
        <v>125</v>
      </c>
      <c r="B20" s="3" t="s">
        <v>50</v>
      </c>
      <c r="C20" s="3" t="s">
        <v>29</v>
      </c>
      <c r="D20" s="3" t="s">
        <v>24</v>
      </c>
      <c r="E20" s="3">
        <v>0.23</v>
      </c>
      <c r="F20" s="4">
        <v>21</v>
      </c>
      <c r="G20" s="5">
        <v>45170</v>
      </c>
      <c r="H20" s="5">
        <v>45231</v>
      </c>
      <c r="I20" s="3" t="s">
        <v>14</v>
      </c>
      <c r="J20" s="3">
        <v>2023</v>
      </c>
      <c r="K20">
        <v>19</v>
      </c>
    </row>
    <row r="21" spans="1:12" x14ac:dyDescent="0.3">
      <c r="A21" s="3" t="s">
        <v>115</v>
      </c>
      <c r="B21" s="3" t="s">
        <v>18</v>
      </c>
      <c r="C21" s="3" t="s">
        <v>25</v>
      </c>
      <c r="D21" s="3" t="s">
        <v>26</v>
      </c>
      <c r="E21" s="3">
        <v>0.48</v>
      </c>
      <c r="F21" s="4">
        <v>47</v>
      </c>
      <c r="G21" s="5">
        <v>44927</v>
      </c>
      <c r="H21" s="5">
        <v>45261</v>
      </c>
      <c r="I21" s="3" t="s">
        <v>27</v>
      </c>
      <c r="J21" s="3">
        <v>2023</v>
      </c>
      <c r="K21">
        <v>20</v>
      </c>
    </row>
    <row r="22" spans="1:12" x14ac:dyDescent="0.3">
      <c r="A22" s="3" t="s">
        <v>116</v>
      </c>
      <c r="B22" s="3" t="s">
        <v>28</v>
      </c>
      <c r="C22" s="3" t="s">
        <v>29</v>
      </c>
      <c r="D22" s="3" t="s">
        <v>30</v>
      </c>
      <c r="E22" s="3">
        <v>0.45</v>
      </c>
      <c r="F22" s="4">
        <v>26</v>
      </c>
      <c r="G22" s="5">
        <v>44866</v>
      </c>
      <c r="H22" s="5">
        <v>45261</v>
      </c>
      <c r="I22" s="3" t="s">
        <v>14</v>
      </c>
      <c r="J22" s="3">
        <v>2023</v>
      </c>
      <c r="K22">
        <v>21</v>
      </c>
    </row>
    <row r="23" spans="1:12" x14ac:dyDescent="0.3">
      <c r="A23" s="3" t="s">
        <v>117</v>
      </c>
      <c r="B23" s="3" t="s">
        <v>33</v>
      </c>
      <c r="C23" s="3" t="s">
        <v>23</v>
      </c>
      <c r="D23" s="3" t="s">
        <v>34</v>
      </c>
      <c r="E23" s="3">
        <v>0.16</v>
      </c>
      <c r="F23" s="4">
        <v>84</v>
      </c>
      <c r="G23" s="5">
        <v>45017</v>
      </c>
      <c r="H23" s="5">
        <v>45261</v>
      </c>
      <c r="I23" s="3" t="s">
        <v>14</v>
      </c>
      <c r="J23" s="3">
        <v>2023</v>
      </c>
      <c r="K23">
        <v>22</v>
      </c>
    </row>
    <row r="24" spans="1:12" x14ac:dyDescent="0.3">
      <c r="A24" s="3" t="s">
        <v>121</v>
      </c>
      <c r="B24" s="3" t="s">
        <v>15</v>
      </c>
      <c r="C24" s="3" t="s">
        <v>19</v>
      </c>
      <c r="D24" s="3" t="s">
        <v>26</v>
      </c>
      <c r="E24" s="3">
        <v>0.25</v>
      </c>
      <c r="F24" s="4">
        <v>61</v>
      </c>
      <c r="G24" s="5">
        <v>44866</v>
      </c>
      <c r="H24" s="5">
        <v>45261</v>
      </c>
      <c r="I24" s="3" t="s">
        <v>27</v>
      </c>
      <c r="J24" s="3">
        <v>2023</v>
      </c>
      <c r="K24">
        <v>23</v>
      </c>
    </row>
    <row r="25" spans="1:12" x14ac:dyDescent="0.3">
      <c r="A25" s="3" t="s">
        <v>123</v>
      </c>
      <c r="B25" s="3" t="s">
        <v>38</v>
      </c>
      <c r="C25" s="3" t="s">
        <v>47</v>
      </c>
      <c r="D25" s="3" t="s">
        <v>24</v>
      </c>
      <c r="E25" s="3">
        <v>0.28000000000000003</v>
      </c>
      <c r="F25" s="4">
        <v>48</v>
      </c>
      <c r="G25" s="5">
        <v>45170</v>
      </c>
      <c r="H25" s="5">
        <v>45261</v>
      </c>
      <c r="I25" s="3" t="s">
        <v>14</v>
      </c>
      <c r="J25" s="3">
        <v>2023</v>
      </c>
      <c r="K25">
        <v>24</v>
      </c>
    </row>
    <row r="26" spans="1:12" x14ac:dyDescent="0.3">
      <c r="A26" s="3" t="s">
        <v>127</v>
      </c>
      <c r="B26" s="3" t="s">
        <v>51</v>
      </c>
      <c r="C26" s="3" t="s">
        <v>25</v>
      </c>
      <c r="D26" s="3" t="s">
        <v>34</v>
      </c>
      <c r="E26" s="3">
        <v>0.6</v>
      </c>
      <c r="F26" s="4">
        <v>42</v>
      </c>
      <c r="G26" s="5">
        <v>44927</v>
      </c>
      <c r="H26" s="5">
        <v>45261</v>
      </c>
      <c r="I26" s="3" t="s">
        <v>27</v>
      </c>
      <c r="J26" s="3">
        <v>2023</v>
      </c>
      <c r="K26">
        <v>25</v>
      </c>
    </row>
    <row r="27" spans="1:12" x14ac:dyDescent="0.3">
      <c r="A27" s="3" t="s">
        <v>128</v>
      </c>
      <c r="B27" s="3" t="s">
        <v>53</v>
      </c>
      <c r="C27" s="3" t="s">
        <v>25</v>
      </c>
      <c r="D27" s="3" t="s">
        <v>20</v>
      </c>
      <c r="E27" s="3">
        <v>0.35</v>
      </c>
      <c r="F27" s="4">
        <v>100</v>
      </c>
      <c r="G27" s="5">
        <v>44986</v>
      </c>
      <c r="H27" s="5">
        <v>45261</v>
      </c>
      <c r="I27" s="3" t="s">
        <v>14</v>
      </c>
      <c r="J27" s="3">
        <v>2023</v>
      </c>
      <c r="K27">
        <v>26</v>
      </c>
      <c r="L27" t="s">
        <v>167</v>
      </c>
    </row>
    <row r="28" spans="1:12" x14ac:dyDescent="0.3">
      <c r="A28" s="3" t="s">
        <v>124</v>
      </c>
      <c r="B28" s="3" t="s">
        <v>46</v>
      </c>
      <c r="C28" s="3" t="s">
        <v>19</v>
      </c>
      <c r="D28" s="3" t="s">
        <v>26</v>
      </c>
      <c r="E28" s="3">
        <v>0.18</v>
      </c>
      <c r="F28" s="4">
        <v>58</v>
      </c>
      <c r="G28" s="5">
        <v>45170</v>
      </c>
      <c r="H28" s="5">
        <v>45627</v>
      </c>
      <c r="I28" s="3" t="s">
        <v>36</v>
      </c>
      <c r="J28" s="3">
        <v>2023</v>
      </c>
      <c r="K28">
        <v>27</v>
      </c>
      <c r="L28">
        <f>SUM(E2:E28)</f>
        <v>7.49</v>
      </c>
    </row>
    <row r="29" spans="1:12" x14ac:dyDescent="0.3">
      <c r="A29" s="6" t="s">
        <v>141</v>
      </c>
      <c r="B29" s="6" t="s">
        <v>38</v>
      </c>
      <c r="C29" s="6" t="s">
        <v>12</v>
      </c>
      <c r="D29" s="6" t="s">
        <v>34</v>
      </c>
      <c r="E29" s="6">
        <v>0.25</v>
      </c>
      <c r="F29" s="7">
        <v>79</v>
      </c>
      <c r="G29" s="8">
        <v>45139</v>
      </c>
      <c r="H29" s="8">
        <v>45292</v>
      </c>
      <c r="I29" s="6" t="s">
        <v>14</v>
      </c>
      <c r="J29" s="6">
        <v>2024</v>
      </c>
      <c r="K29">
        <v>1</v>
      </c>
    </row>
    <row r="30" spans="1:12" x14ac:dyDescent="0.3">
      <c r="A30" s="6" t="s">
        <v>136</v>
      </c>
      <c r="B30" s="6" t="s">
        <v>32</v>
      </c>
      <c r="C30" s="6" t="s">
        <v>23</v>
      </c>
      <c r="D30" s="6" t="s">
        <v>13</v>
      </c>
      <c r="E30" s="6">
        <v>0.35</v>
      </c>
      <c r="F30" s="7">
        <v>97</v>
      </c>
      <c r="G30" s="8">
        <v>45017</v>
      </c>
      <c r="H30" s="8">
        <v>45323</v>
      </c>
      <c r="I30" s="6" t="s">
        <v>14</v>
      </c>
      <c r="J30" s="6">
        <v>2024</v>
      </c>
      <c r="K30">
        <v>2</v>
      </c>
    </row>
    <row r="31" spans="1:12" x14ac:dyDescent="0.3">
      <c r="A31" s="6" t="s">
        <v>58</v>
      </c>
      <c r="B31" s="6" t="s">
        <v>35</v>
      </c>
      <c r="C31" s="6" t="s">
        <v>12</v>
      </c>
      <c r="D31" s="6" t="s">
        <v>26</v>
      </c>
      <c r="E31" s="6">
        <v>0.34</v>
      </c>
      <c r="F31" s="7">
        <v>100</v>
      </c>
      <c r="G31" s="8">
        <v>45047</v>
      </c>
      <c r="H31" s="8">
        <v>45383</v>
      </c>
      <c r="I31" s="6" t="s">
        <v>14</v>
      </c>
      <c r="J31" s="6">
        <v>2024</v>
      </c>
      <c r="K31">
        <v>3</v>
      </c>
    </row>
    <row r="32" spans="1:12" x14ac:dyDescent="0.3">
      <c r="A32" s="6" t="s">
        <v>143</v>
      </c>
      <c r="B32" s="6" t="s">
        <v>67</v>
      </c>
      <c r="C32" s="6" t="s">
        <v>12</v>
      </c>
      <c r="D32" s="6" t="s">
        <v>30</v>
      </c>
      <c r="E32" s="6">
        <v>0.57999999999999996</v>
      </c>
      <c r="F32" s="7">
        <v>68</v>
      </c>
      <c r="G32" s="8">
        <v>45383</v>
      </c>
      <c r="H32" s="8">
        <v>45444</v>
      </c>
      <c r="I32" s="6" t="s">
        <v>14</v>
      </c>
      <c r="J32" s="6">
        <v>2024</v>
      </c>
      <c r="K32">
        <v>4</v>
      </c>
    </row>
    <row r="33" spans="1:11" x14ac:dyDescent="0.3">
      <c r="A33" s="6" t="s">
        <v>131</v>
      </c>
      <c r="B33" s="6" t="s">
        <v>15</v>
      </c>
      <c r="C33" s="6" t="s">
        <v>12</v>
      </c>
      <c r="D33" s="6" t="s">
        <v>17</v>
      </c>
      <c r="E33" s="6">
        <v>0.16</v>
      </c>
      <c r="F33" s="7">
        <v>44</v>
      </c>
      <c r="G33" s="8">
        <v>45323</v>
      </c>
      <c r="H33" s="8">
        <v>45474</v>
      </c>
      <c r="I33" s="6" t="s">
        <v>36</v>
      </c>
      <c r="J33" s="6">
        <v>2024</v>
      </c>
      <c r="K33">
        <v>5</v>
      </c>
    </row>
    <row r="34" spans="1:11" x14ac:dyDescent="0.3">
      <c r="A34" s="6" t="s">
        <v>138</v>
      </c>
      <c r="B34" s="6" t="s">
        <v>50</v>
      </c>
      <c r="C34" s="6" t="s">
        <v>23</v>
      </c>
      <c r="D34" s="6" t="s">
        <v>34</v>
      </c>
      <c r="E34" s="6">
        <v>0.36</v>
      </c>
      <c r="F34" s="7">
        <v>37</v>
      </c>
      <c r="G34" s="8">
        <v>45108</v>
      </c>
      <c r="H34" s="8">
        <v>45474</v>
      </c>
      <c r="I34" s="6" t="s">
        <v>36</v>
      </c>
      <c r="J34" s="6">
        <v>2024</v>
      </c>
      <c r="K34">
        <v>6</v>
      </c>
    </row>
    <row r="35" spans="1:11" x14ac:dyDescent="0.3">
      <c r="A35" s="6" t="s">
        <v>68</v>
      </c>
      <c r="B35" s="6" t="s">
        <v>43</v>
      </c>
      <c r="C35" s="6" t="s">
        <v>47</v>
      </c>
      <c r="D35" s="6" t="s">
        <v>24</v>
      </c>
      <c r="E35" s="6">
        <v>0.48</v>
      </c>
      <c r="F35" s="7">
        <v>22</v>
      </c>
      <c r="G35" s="8">
        <v>45323</v>
      </c>
      <c r="H35" s="8">
        <v>45474</v>
      </c>
      <c r="I35" s="6" t="s">
        <v>36</v>
      </c>
      <c r="J35" s="6">
        <v>2024</v>
      </c>
      <c r="K35">
        <v>7</v>
      </c>
    </row>
    <row r="36" spans="1:11" x14ac:dyDescent="0.3">
      <c r="A36" s="6" t="s">
        <v>144</v>
      </c>
      <c r="B36" s="6" t="s">
        <v>41</v>
      </c>
      <c r="C36" s="6" t="s">
        <v>29</v>
      </c>
      <c r="D36" s="6" t="s">
        <v>20</v>
      </c>
      <c r="E36" s="6">
        <v>0.62</v>
      </c>
      <c r="F36" s="7">
        <v>21</v>
      </c>
      <c r="G36" s="8">
        <v>45292</v>
      </c>
      <c r="H36" s="8">
        <v>45505</v>
      </c>
      <c r="I36" s="6" t="s">
        <v>14</v>
      </c>
      <c r="J36" s="6">
        <v>2024</v>
      </c>
      <c r="K36">
        <v>8</v>
      </c>
    </row>
    <row r="37" spans="1:11" x14ac:dyDescent="0.3">
      <c r="A37" s="6" t="s">
        <v>132</v>
      </c>
      <c r="B37" s="6" t="s">
        <v>11</v>
      </c>
      <c r="C37" s="6" t="s">
        <v>23</v>
      </c>
      <c r="D37" s="6" t="s">
        <v>34</v>
      </c>
      <c r="E37" s="6">
        <v>0.23</v>
      </c>
      <c r="F37" s="7">
        <v>74</v>
      </c>
      <c r="G37" s="8">
        <v>45292</v>
      </c>
      <c r="H37" s="8">
        <v>45536</v>
      </c>
      <c r="I37" s="6" t="s">
        <v>14</v>
      </c>
      <c r="J37" s="6">
        <v>2024</v>
      </c>
      <c r="K37">
        <v>9</v>
      </c>
    </row>
    <row r="38" spans="1:11" x14ac:dyDescent="0.3">
      <c r="A38" s="6" t="s">
        <v>61</v>
      </c>
      <c r="B38" s="6" t="s">
        <v>15</v>
      </c>
      <c r="C38" s="6" t="s">
        <v>19</v>
      </c>
      <c r="D38" s="6" t="s">
        <v>26</v>
      </c>
      <c r="E38" s="6">
        <v>0.2</v>
      </c>
      <c r="F38" s="7">
        <v>28</v>
      </c>
      <c r="G38" s="8">
        <v>45292</v>
      </c>
      <c r="H38" s="8">
        <v>45536</v>
      </c>
      <c r="I38" s="6" t="s">
        <v>14</v>
      </c>
      <c r="J38" s="6">
        <v>2024</v>
      </c>
      <c r="K38">
        <v>10</v>
      </c>
    </row>
    <row r="39" spans="1:11" x14ac:dyDescent="0.3">
      <c r="A39" s="6" t="s">
        <v>63</v>
      </c>
      <c r="B39" s="6" t="s">
        <v>55</v>
      </c>
      <c r="C39" s="6" t="s">
        <v>16</v>
      </c>
      <c r="D39" s="6" t="s">
        <v>13</v>
      </c>
      <c r="E39" s="6">
        <v>0.22</v>
      </c>
      <c r="F39" s="7">
        <v>75</v>
      </c>
      <c r="G39" s="8">
        <v>45292</v>
      </c>
      <c r="H39" s="8">
        <v>45536</v>
      </c>
      <c r="I39" s="6" t="s">
        <v>14</v>
      </c>
      <c r="J39" s="6">
        <v>2024</v>
      </c>
      <c r="K39">
        <v>11</v>
      </c>
    </row>
    <row r="40" spans="1:11" x14ac:dyDescent="0.3">
      <c r="A40" s="6" t="s">
        <v>145</v>
      </c>
      <c r="B40" s="6" t="s">
        <v>28</v>
      </c>
      <c r="C40" s="6" t="s">
        <v>39</v>
      </c>
      <c r="D40" s="6" t="s">
        <v>13</v>
      </c>
      <c r="E40" s="6">
        <v>0.11</v>
      </c>
      <c r="F40" s="7">
        <v>48</v>
      </c>
      <c r="G40" s="8">
        <v>45323</v>
      </c>
      <c r="H40" s="8">
        <v>45536</v>
      </c>
      <c r="I40" s="6" t="s">
        <v>14</v>
      </c>
      <c r="J40" s="6">
        <v>2024</v>
      </c>
      <c r="K40">
        <v>12</v>
      </c>
    </row>
    <row r="41" spans="1:11" x14ac:dyDescent="0.3">
      <c r="A41" s="6" t="s">
        <v>149</v>
      </c>
      <c r="B41" s="6" t="s">
        <v>18</v>
      </c>
      <c r="C41" s="6" t="s">
        <v>25</v>
      </c>
      <c r="D41" s="6" t="s">
        <v>30</v>
      </c>
      <c r="E41" s="6">
        <v>0.45</v>
      </c>
      <c r="F41" s="7">
        <v>86</v>
      </c>
      <c r="G41" s="8">
        <v>45383</v>
      </c>
      <c r="H41" s="8">
        <v>45536</v>
      </c>
      <c r="I41" s="6" t="s">
        <v>14</v>
      </c>
      <c r="J41" s="6">
        <v>2024</v>
      </c>
      <c r="K41">
        <v>13</v>
      </c>
    </row>
    <row r="42" spans="1:11" x14ac:dyDescent="0.3">
      <c r="A42" s="6" t="s">
        <v>134</v>
      </c>
      <c r="B42" s="6" t="s">
        <v>35</v>
      </c>
      <c r="C42" s="6" t="s">
        <v>19</v>
      </c>
      <c r="D42" s="6" t="s">
        <v>34</v>
      </c>
      <c r="E42" s="6">
        <v>0.38</v>
      </c>
      <c r="F42" s="7">
        <v>32</v>
      </c>
      <c r="G42" s="8">
        <v>45413</v>
      </c>
      <c r="H42" s="8">
        <v>45566</v>
      </c>
      <c r="I42" s="6" t="s">
        <v>14</v>
      </c>
      <c r="J42" s="6">
        <v>2024</v>
      </c>
      <c r="K42">
        <v>14</v>
      </c>
    </row>
    <row r="43" spans="1:11" x14ac:dyDescent="0.3">
      <c r="A43" s="6" t="s">
        <v>65</v>
      </c>
      <c r="B43" s="6" t="s">
        <v>11</v>
      </c>
      <c r="C43" s="6" t="s">
        <v>19</v>
      </c>
      <c r="D43" s="6" t="s">
        <v>64</v>
      </c>
      <c r="E43" s="6">
        <v>0.35</v>
      </c>
      <c r="F43" s="7">
        <v>70</v>
      </c>
      <c r="G43" s="8">
        <v>45292</v>
      </c>
      <c r="H43" s="8">
        <v>45566</v>
      </c>
      <c r="I43" s="6" t="s">
        <v>14</v>
      </c>
      <c r="J43" s="6">
        <v>2024</v>
      </c>
      <c r="K43">
        <v>15</v>
      </c>
    </row>
    <row r="44" spans="1:11" x14ac:dyDescent="0.3">
      <c r="A44" s="6" t="s">
        <v>147</v>
      </c>
      <c r="B44" s="6" t="s">
        <v>18</v>
      </c>
      <c r="C44" s="6" t="s">
        <v>25</v>
      </c>
      <c r="D44" s="6" t="s">
        <v>17</v>
      </c>
      <c r="E44" s="6">
        <v>0.37</v>
      </c>
      <c r="F44" s="7">
        <v>92</v>
      </c>
      <c r="G44" s="8">
        <v>44986</v>
      </c>
      <c r="H44" s="8">
        <v>45566</v>
      </c>
      <c r="I44" s="6" t="s">
        <v>14</v>
      </c>
      <c r="J44" s="6">
        <v>2024</v>
      </c>
      <c r="K44">
        <v>16</v>
      </c>
    </row>
    <row r="45" spans="1:11" x14ac:dyDescent="0.3">
      <c r="A45" s="6" t="s">
        <v>150</v>
      </c>
      <c r="B45" s="6" t="s">
        <v>57</v>
      </c>
      <c r="C45" s="6" t="s">
        <v>25</v>
      </c>
      <c r="D45" s="6" t="s">
        <v>17</v>
      </c>
      <c r="E45" s="6">
        <v>0.32</v>
      </c>
      <c r="F45" s="7">
        <v>80</v>
      </c>
      <c r="G45" s="8">
        <v>45323</v>
      </c>
      <c r="H45" s="8">
        <v>45566</v>
      </c>
      <c r="I45" s="6" t="s">
        <v>14</v>
      </c>
      <c r="J45" s="6">
        <v>2024</v>
      </c>
      <c r="K45">
        <v>17</v>
      </c>
    </row>
    <row r="46" spans="1:11" x14ac:dyDescent="0.3">
      <c r="A46" s="6" t="s">
        <v>59</v>
      </c>
      <c r="B46" s="6" t="s">
        <v>41</v>
      </c>
      <c r="C46" s="6" t="s">
        <v>56</v>
      </c>
      <c r="D46" s="6" t="s">
        <v>60</v>
      </c>
      <c r="E46" s="6">
        <v>0.25</v>
      </c>
      <c r="F46" s="7">
        <v>29</v>
      </c>
      <c r="G46" s="8">
        <v>45383</v>
      </c>
      <c r="H46" s="8">
        <v>45597</v>
      </c>
      <c r="I46" s="6" t="s">
        <v>14</v>
      </c>
      <c r="J46" s="6">
        <v>2024</v>
      </c>
      <c r="K46">
        <v>18</v>
      </c>
    </row>
    <row r="47" spans="1:11" x14ac:dyDescent="0.3">
      <c r="A47" s="6" t="s">
        <v>139</v>
      </c>
      <c r="B47" s="6" t="s">
        <v>40</v>
      </c>
      <c r="C47" s="6" t="s">
        <v>39</v>
      </c>
      <c r="D47" s="6" t="s">
        <v>64</v>
      </c>
      <c r="E47" s="6">
        <v>0.46</v>
      </c>
      <c r="F47" s="7">
        <v>26</v>
      </c>
      <c r="G47" s="8">
        <v>45017</v>
      </c>
      <c r="H47" s="8">
        <v>45597</v>
      </c>
      <c r="I47" s="6" t="s">
        <v>14</v>
      </c>
      <c r="J47" s="6">
        <v>2024</v>
      </c>
      <c r="K47">
        <v>19</v>
      </c>
    </row>
    <row r="48" spans="1:11" x14ac:dyDescent="0.3">
      <c r="A48" s="6" t="s">
        <v>146</v>
      </c>
      <c r="B48" s="6" t="s">
        <v>33</v>
      </c>
      <c r="C48" s="6" t="s">
        <v>25</v>
      </c>
      <c r="D48" s="6" t="s">
        <v>13</v>
      </c>
      <c r="E48" s="6">
        <v>0.36</v>
      </c>
      <c r="F48" s="7">
        <v>28</v>
      </c>
      <c r="G48" s="8">
        <v>45474</v>
      </c>
      <c r="H48" s="8">
        <v>45597</v>
      </c>
      <c r="I48" s="6" t="s">
        <v>14</v>
      </c>
      <c r="J48" s="6">
        <v>2024</v>
      </c>
      <c r="K48">
        <v>20</v>
      </c>
    </row>
    <row r="49" spans="1:12" x14ac:dyDescent="0.3">
      <c r="A49" s="6" t="s">
        <v>133</v>
      </c>
      <c r="B49" s="6" t="s">
        <v>51</v>
      </c>
      <c r="C49" s="6" t="s">
        <v>44</v>
      </c>
      <c r="D49" s="6" t="s">
        <v>34</v>
      </c>
      <c r="E49" s="6">
        <v>0.77</v>
      </c>
      <c r="F49" s="7">
        <v>97</v>
      </c>
      <c r="G49" s="8">
        <v>45413</v>
      </c>
      <c r="H49" s="8">
        <v>45627</v>
      </c>
      <c r="I49" s="6" t="s">
        <v>27</v>
      </c>
      <c r="J49" s="6">
        <v>2024</v>
      </c>
      <c r="K49">
        <v>21</v>
      </c>
    </row>
    <row r="50" spans="1:12" x14ac:dyDescent="0.3">
      <c r="A50" s="6" t="s">
        <v>135</v>
      </c>
      <c r="B50" s="6" t="s">
        <v>57</v>
      </c>
      <c r="C50" s="6" t="s">
        <v>12</v>
      </c>
      <c r="D50" s="6" t="s">
        <v>60</v>
      </c>
      <c r="E50" s="6">
        <v>0.33</v>
      </c>
      <c r="F50" s="7">
        <v>36</v>
      </c>
      <c r="G50" s="8">
        <v>45444</v>
      </c>
      <c r="H50" s="8">
        <v>45627</v>
      </c>
      <c r="I50" s="6" t="s">
        <v>14</v>
      </c>
      <c r="J50" s="6">
        <v>2024</v>
      </c>
      <c r="K50">
        <v>22</v>
      </c>
    </row>
    <row r="51" spans="1:12" x14ac:dyDescent="0.3">
      <c r="A51" s="6" t="s">
        <v>137</v>
      </c>
      <c r="B51" s="6" t="s">
        <v>15</v>
      </c>
      <c r="C51" s="6" t="s">
        <v>16</v>
      </c>
      <c r="D51" s="6" t="s">
        <v>20</v>
      </c>
      <c r="E51" s="6">
        <v>0.54</v>
      </c>
      <c r="F51" s="7">
        <v>93</v>
      </c>
      <c r="G51" s="8">
        <v>45505</v>
      </c>
      <c r="H51" s="8">
        <v>45627</v>
      </c>
      <c r="I51" s="6" t="s">
        <v>14</v>
      </c>
      <c r="J51" s="6">
        <v>2024</v>
      </c>
      <c r="K51">
        <v>23</v>
      </c>
    </row>
    <row r="52" spans="1:12" x14ac:dyDescent="0.3">
      <c r="A52" s="6" t="s">
        <v>140</v>
      </c>
      <c r="B52" s="6" t="s">
        <v>41</v>
      </c>
      <c r="C52" s="6" t="s">
        <v>25</v>
      </c>
      <c r="D52" s="6" t="s">
        <v>24</v>
      </c>
      <c r="E52" s="6">
        <v>0.91</v>
      </c>
      <c r="F52" s="7">
        <v>45</v>
      </c>
      <c r="G52" s="8">
        <v>45352</v>
      </c>
      <c r="H52" s="8">
        <v>45627</v>
      </c>
      <c r="I52" s="6" t="s">
        <v>27</v>
      </c>
      <c r="J52" s="6">
        <v>2024</v>
      </c>
      <c r="K52">
        <v>24</v>
      </c>
    </row>
    <row r="53" spans="1:12" x14ac:dyDescent="0.3">
      <c r="A53" s="6" t="s">
        <v>142</v>
      </c>
      <c r="B53" s="6" t="s">
        <v>15</v>
      </c>
      <c r="C53" s="6" t="s">
        <v>23</v>
      </c>
      <c r="D53" s="6" t="s">
        <v>24</v>
      </c>
      <c r="E53" s="6">
        <v>0.24</v>
      </c>
      <c r="F53" s="7">
        <v>62</v>
      </c>
      <c r="G53" s="8">
        <v>45292</v>
      </c>
      <c r="H53" s="8">
        <v>45627</v>
      </c>
      <c r="I53" s="6" t="s">
        <v>14</v>
      </c>
      <c r="J53" s="6">
        <v>2024</v>
      </c>
      <c r="K53">
        <v>25</v>
      </c>
    </row>
    <row r="54" spans="1:12" x14ac:dyDescent="0.3">
      <c r="A54" s="6" t="s">
        <v>66</v>
      </c>
      <c r="B54" s="6" t="s">
        <v>15</v>
      </c>
      <c r="C54" s="6" t="s">
        <v>47</v>
      </c>
      <c r="D54" s="6" t="s">
        <v>64</v>
      </c>
      <c r="E54" s="6">
        <v>0.16</v>
      </c>
      <c r="F54" s="7">
        <v>31</v>
      </c>
      <c r="G54" s="8">
        <v>45505</v>
      </c>
      <c r="H54" s="8">
        <v>45627</v>
      </c>
      <c r="I54" s="6" t="s">
        <v>14</v>
      </c>
      <c r="J54" s="6">
        <v>2024</v>
      </c>
      <c r="K54">
        <v>26</v>
      </c>
    </row>
    <row r="55" spans="1:12" x14ac:dyDescent="0.3">
      <c r="A55" s="6" t="s">
        <v>69</v>
      </c>
      <c r="B55" s="6" t="s">
        <v>46</v>
      </c>
      <c r="C55" s="6" t="s">
        <v>39</v>
      </c>
      <c r="D55" s="6" t="s">
        <v>64</v>
      </c>
      <c r="E55" s="6">
        <v>0.59</v>
      </c>
      <c r="F55" s="7">
        <v>75</v>
      </c>
      <c r="G55" s="8">
        <v>45413</v>
      </c>
      <c r="H55" s="8">
        <v>45627</v>
      </c>
      <c r="I55" s="6" t="s">
        <v>27</v>
      </c>
      <c r="J55" s="6">
        <v>2024</v>
      </c>
      <c r="K55">
        <v>27</v>
      </c>
    </row>
    <row r="56" spans="1:12" x14ac:dyDescent="0.3">
      <c r="A56" s="6" t="s">
        <v>148</v>
      </c>
      <c r="B56" s="6" t="s">
        <v>67</v>
      </c>
      <c r="C56" s="6" t="s">
        <v>39</v>
      </c>
      <c r="D56" s="6" t="s">
        <v>17</v>
      </c>
      <c r="E56" s="6">
        <v>0.27</v>
      </c>
      <c r="F56" s="7">
        <v>86</v>
      </c>
      <c r="G56" s="8">
        <v>45352</v>
      </c>
      <c r="H56" s="8">
        <v>45627</v>
      </c>
      <c r="I56" s="6" t="s">
        <v>14</v>
      </c>
      <c r="J56" s="6">
        <v>2024</v>
      </c>
      <c r="K56">
        <v>28</v>
      </c>
    </row>
    <row r="57" spans="1:12" x14ac:dyDescent="0.3">
      <c r="A57" s="6" t="s">
        <v>70</v>
      </c>
      <c r="B57" s="6" t="s">
        <v>32</v>
      </c>
      <c r="C57" s="6" t="s">
        <v>39</v>
      </c>
      <c r="D57" s="6" t="s">
        <v>26</v>
      </c>
      <c r="E57" s="6">
        <v>0.25</v>
      </c>
      <c r="F57" s="7">
        <v>33</v>
      </c>
      <c r="G57" s="8">
        <v>45292</v>
      </c>
      <c r="H57" s="8">
        <v>45627</v>
      </c>
      <c r="I57" s="6" t="s">
        <v>14</v>
      </c>
      <c r="J57" s="6">
        <v>2024</v>
      </c>
      <c r="K57">
        <v>29</v>
      </c>
      <c r="L57" t="s">
        <v>167</v>
      </c>
    </row>
    <row r="58" spans="1:12" x14ac:dyDescent="0.3">
      <c r="A58" s="6" t="s">
        <v>62</v>
      </c>
      <c r="B58" s="6" t="s">
        <v>50</v>
      </c>
      <c r="C58" s="6" t="s">
        <v>29</v>
      </c>
      <c r="D58" s="6" t="s">
        <v>13</v>
      </c>
      <c r="E58" s="6">
        <v>0.25</v>
      </c>
      <c r="F58" s="7">
        <v>48</v>
      </c>
      <c r="G58" s="8">
        <v>45566</v>
      </c>
      <c r="H58" s="8">
        <v>45809</v>
      </c>
      <c r="I58" s="6" t="s">
        <v>14</v>
      </c>
      <c r="J58" s="6">
        <v>2024</v>
      </c>
      <c r="K58">
        <v>30</v>
      </c>
      <c r="L58">
        <f>SUM(E29:E58)</f>
        <v>11.15</v>
      </c>
    </row>
    <row r="59" spans="1:12" x14ac:dyDescent="0.3">
      <c r="A59" s="12" t="s">
        <v>76</v>
      </c>
      <c r="B59" s="12" t="s">
        <v>57</v>
      </c>
      <c r="C59" s="12" t="s">
        <v>44</v>
      </c>
      <c r="D59" s="12" t="s">
        <v>49</v>
      </c>
      <c r="E59" s="12">
        <v>0.37</v>
      </c>
      <c r="F59" s="13">
        <v>22</v>
      </c>
      <c r="G59" s="14">
        <v>45505</v>
      </c>
      <c r="H59" s="14">
        <v>45658</v>
      </c>
      <c r="I59" s="12" t="s">
        <v>73</v>
      </c>
      <c r="J59" s="12">
        <v>2025</v>
      </c>
      <c r="K59">
        <v>1</v>
      </c>
    </row>
    <row r="60" spans="1:12" x14ac:dyDescent="0.3">
      <c r="A60" s="12" t="s">
        <v>80</v>
      </c>
      <c r="B60" s="12" t="s">
        <v>32</v>
      </c>
      <c r="C60" s="12" t="s">
        <v>44</v>
      </c>
      <c r="D60" s="12" t="s">
        <v>49</v>
      </c>
      <c r="E60" s="12">
        <v>0.13</v>
      </c>
      <c r="F60" s="13">
        <v>100</v>
      </c>
      <c r="G60" s="14">
        <v>45383</v>
      </c>
      <c r="H60" s="14">
        <v>45658</v>
      </c>
      <c r="I60" s="12" t="s">
        <v>14</v>
      </c>
      <c r="J60" s="12">
        <v>2025</v>
      </c>
      <c r="K60">
        <v>2</v>
      </c>
    </row>
    <row r="61" spans="1:12" x14ac:dyDescent="0.3">
      <c r="A61" s="12" t="s">
        <v>165</v>
      </c>
      <c r="B61" s="12" t="s">
        <v>46</v>
      </c>
      <c r="C61" s="12" t="s">
        <v>23</v>
      </c>
      <c r="D61" s="12" t="s">
        <v>17</v>
      </c>
      <c r="E61" s="12">
        <v>0.53</v>
      </c>
      <c r="F61" s="13">
        <v>86</v>
      </c>
      <c r="G61" s="14">
        <v>45383</v>
      </c>
      <c r="H61" s="14">
        <v>45658</v>
      </c>
      <c r="I61" s="12" t="s">
        <v>14</v>
      </c>
      <c r="J61" s="12">
        <v>2025</v>
      </c>
      <c r="K61">
        <v>3</v>
      </c>
    </row>
    <row r="62" spans="1:12" x14ac:dyDescent="0.3">
      <c r="A62" s="12" t="s">
        <v>164</v>
      </c>
      <c r="B62" s="12" t="s">
        <v>15</v>
      </c>
      <c r="C62" s="12" t="s">
        <v>29</v>
      </c>
      <c r="D62" s="12" t="s">
        <v>30</v>
      </c>
      <c r="E62" s="12">
        <v>0.17</v>
      </c>
      <c r="F62" s="13">
        <v>23</v>
      </c>
      <c r="G62" s="14">
        <v>45323</v>
      </c>
      <c r="H62" s="14">
        <v>45689</v>
      </c>
      <c r="I62" s="12" t="s">
        <v>73</v>
      </c>
      <c r="J62" s="12">
        <v>2025</v>
      </c>
      <c r="K62">
        <v>4</v>
      </c>
    </row>
    <row r="63" spans="1:12" x14ac:dyDescent="0.3">
      <c r="A63" s="12" t="s">
        <v>159</v>
      </c>
      <c r="B63" s="12" t="s">
        <v>50</v>
      </c>
      <c r="C63" s="12" t="s">
        <v>39</v>
      </c>
      <c r="D63" s="12" t="s">
        <v>13</v>
      </c>
      <c r="E63" s="12">
        <v>0.55000000000000004</v>
      </c>
      <c r="F63" s="13">
        <v>29</v>
      </c>
      <c r="G63" s="14">
        <v>45505</v>
      </c>
      <c r="H63" s="14">
        <v>45717</v>
      </c>
      <c r="I63" s="12" t="s">
        <v>27</v>
      </c>
      <c r="J63" s="12">
        <v>2025</v>
      </c>
      <c r="K63">
        <v>5</v>
      </c>
    </row>
    <row r="64" spans="1:12" x14ac:dyDescent="0.3">
      <c r="A64" s="12" t="s">
        <v>72</v>
      </c>
      <c r="B64" s="12" t="s">
        <v>40</v>
      </c>
      <c r="C64" s="12" t="s">
        <v>47</v>
      </c>
      <c r="D64" s="12" t="s">
        <v>26</v>
      </c>
      <c r="E64" s="12">
        <v>0.52</v>
      </c>
      <c r="F64" s="13">
        <v>52</v>
      </c>
      <c r="G64" s="14">
        <v>45627</v>
      </c>
      <c r="H64" s="14">
        <v>45809</v>
      </c>
      <c r="I64" s="12" t="s">
        <v>27</v>
      </c>
      <c r="J64" s="12">
        <v>2025</v>
      </c>
      <c r="K64">
        <v>6</v>
      </c>
    </row>
    <row r="65" spans="1:11" x14ac:dyDescent="0.3">
      <c r="A65" s="12" t="s">
        <v>152</v>
      </c>
      <c r="B65" s="12" t="s">
        <v>46</v>
      </c>
      <c r="C65" s="12" t="s">
        <v>19</v>
      </c>
      <c r="D65" s="12" t="s">
        <v>34</v>
      </c>
      <c r="E65" s="12">
        <v>0.36</v>
      </c>
      <c r="F65" s="13">
        <v>50</v>
      </c>
      <c r="G65" s="14">
        <v>45536</v>
      </c>
      <c r="H65" s="14">
        <v>45839</v>
      </c>
      <c r="I65" s="12" t="s">
        <v>14</v>
      </c>
      <c r="J65" s="12">
        <v>2025</v>
      </c>
      <c r="K65">
        <v>7</v>
      </c>
    </row>
    <row r="66" spans="1:11" x14ac:dyDescent="0.3">
      <c r="A66" s="12" t="s">
        <v>157</v>
      </c>
      <c r="B66" s="12" t="s">
        <v>41</v>
      </c>
      <c r="C66" s="12" t="s">
        <v>25</v>
      </c>
      <c r="D66" s="12" t="s">
        <v>60</v>
      </c>
      <c r="E66" s="12">
        <v>0.31</v>
      </c>
      <c r="F66" s="13">
        <v>56</v>
      </c>
      <c r="G66" s="14">
        <v>45536</v>
      </c>
      <c r="H66" s="14">
        <v>45839</v>
      </c>
      <c r="I66" s="12" t="s">
        <v>14</v>
      </c>
      <c r="J66" s="12">
        <v>2025</v>
      </c>
      <c r="K66">
        <v>8</v>
      </c>
    </row>
    <row r="67" spans="1:11" x14ac:dyDescent="0.3">
      <c r="A67" s="12" t="s">
        <v>79</v>
      </c>
      <c r="B67" s="12" t="s">
        <v>11</v>
      </c>
      <c r="C67" s="12" t="s">
        <v>23</v>
      </c>
      <c r="D67" s="12" t="s">
        <v>60</v>
      </c>
      <c r="E67" s="12">
        <v>0.16</v>
      </c>
      <c r="F67" s="13">
        <v>35</v>
      </c>
      <c r="G67" s="14">
        <v>45597</v>
      </c>
      <c r="H67" s="14">
        <v>45839</v>
      </c>
      <c r="I67" s="12" t="s">
        <v>14</v>
      </c>
      <c r="J67" s="12">
        <v>2025</v>
      </c>
      <c r="K67">
        <v>9</v>
      </c>
    </row>
    <row r="68" spans="1:11" x14ac:dyDescent="0.3">
      <c r="A68" s="12" t="s">
        <v>151</v>
      </c>
      <c r="B68" s="12" t="s">
        <v>53</v>
      </c>
      <c r="C68" s="12" t="s">
        <v>16</v>
      </c>
      <c r="D68" s="12" t="s">
        <v>26</v>
      </c>
      <c r="E68" s="12">
        <v>0.26</v>
      </c>
      <c r="F68" s="13">
        <v>100</v>
      </c>
      <c r="G68" s="14">
        <v>45627</v>
      </c>
      <c r="H68" s="14">
        <v>45870</v>
      </c>
      <c r="I68" s="12" t="s">
        <v>14</v>
      </c>
      <c r="J68" s="12">
        <v>2025</v>
      </c>
      <c r="K68">
        <v>10</v>
      </c>
    </row>
    <row r="69" spans="1:11" x14ac:dyDescent="0.3">
      <c r="A69" s="12" t="s">
        <v>75</v>
      </c>
      <c r="B69" s="12" t="s">
        <v>46</v>
      </c>
      <c r="C69" s="12" t="s">
        <v>39</v>
      </c>
      <c r="D69" s="12" t="s">
        <v>26</v>
      </c>
      <c r="E69" s="12">
        <v>0.44</v>
      </c>
      <c r="F69" s="13">
        <v>89</v>
      </c>
      <c r="G69" s="14">
        <v>45627</v>
      </c>
      <c r="H69" s="14">
        <v>45870</v>
      </c>
      <c r="I69" s="12" t="s">
        <v>14</v>
      </c>
      <c r="J69" s="12">
        <v>2025</v>
      </c>
      <c r="K69">
        <v>11</v>
      </c>
    </row>
    <row r="70" spans="1:11" x14ac:dyDescent="0.3">
      <c r="A70" s="12" t="s">
        <v>162</v>
      </c>
      <c r="B70" s="12" t="s">
        <v>78</v>
      </c>
      <c r="C70" s="12" t="s">
        <v>56</v>
      </c>
      <c r="D70" s="12" t="s">
        <v>60</v>
      </c>
      <c r="E70" s="12">
        <v>0.46</v>
      </c>
      <c r="F70" s="13">
        <v>23</v>
      </c>
      <c r="G70" s="14">
        <v>45566</v>
      </c>
      <c r="H70" s="14">
        <v>45870</v>
      </c>
      <c r="I70" s="12" t="s">
        <v>14</v>
      </c>
      <c r="J70" s="12">
        <v>2025</v>
      </c>
      <c r="K70">
        <v>12</v>
      </c>
    </row>
    <row r="71" spans="1:11" x14ac:dyDescent="0.3">
      <c r="A71" s="12" t="s">
        <v>71</v>
      </c>
      <c r="B71" s="12" t="s">
        <v>51</v>
      </c>
      <c r="C71" s="12" t="s">
        <v>12</v>
      </c>
      <c r="D71" s="12" t="s">
        <v>30</v>
      </c>
      <c r="E71" s="12">
        <v>0.46</v>
      </c>
      <c r="F71" s="13">
        <v>56</v>
      </c>
      <c r="G71" s="14">
        <v>45566</v>
      </c>
      <c r="H71" s="14">
        <v>45901</v>
      </c>
      <c r="I71" s="12" t="s">
        <v>14</v>
      </c>
      <c r="J71" s="12">
        <v>2025</v>
      </c>
      <c r="K71">
        <v>13</v>
      </c>
    </row>
    <row r="72" spans="1:11" x14ac:dyDescent="0.3">
      <c r="A72" s="12" t="s">
        <v>154</v>
      </c>
      <c r="B72" s="12" t="s">
        <v>15</v>
      </c>
      <c r="C72" s="12" t="s">
        <v>25</v>
      </c>
      <c r="D72" s="12" t="s">
        <v>49</v>
      </c>
      <c r="E72" s="12">
        <v>0.25</v>
      </c>
      <c r="F72" s="13">
        <v>62</v>
      </c>
      <c r="G72" s="14">
        <v>45627</v>
      </c>
      <c r="H72" s="14">
        <v>45901</v>
      </c>
      <c r="I72" s="12" t="s">
        <v>14</v>
      </c>
      <c r="J72" s="12">
        <v>2025</v>
      </c>
      <c r="K72">
        <v>14</v>
      </c>
    </row>
    <row r="73" spans="1:11" x14ac:dyDescent="0.3">
      <c r="A73" s="12" t="s">
        <v>156</v>
      </c>
      <c r="B73" s="12" t="s">
        <v>28</v>
      </c>
      <c r="C73" s="12" t="s">
        <v>44</v>
      </c>
      <c r="D73" s="12" t="s">
        <v>24</v>
      </c>
      <c r="E73" s="12">
        <v>0.25</v>
      </c>
      <c r="F73" s="13">
        <v>49</v>
      </c>
      <c r="G73" s="14">
        <v>45627</v>
      </c>
      <c r="H73" s="14">
        <v>45901</v>
      </c>
      <c r="I73" s="12" t="s">
        <v>14</v>
      </c>
      <c r="J73" s="12">
        <v>2025</v>
      </c>
      <c r="K73">
        <v>15</v>
      </c>
    </row>
    <row r="74" spans="1:11" x14ac:dyDescent="0.3">
      <c r="A74" s="12" t="s">
        <v>160</v>
      </c>
      <c r="B74" s="12" t="s">
        <v>11</v>
      </c>
      <c r="C74" s="12" t="s">
        <v>19</v>
      </c>
      <c r="D74" s="12" t="s">
        <v>64</v>
      </c>
      <c r="E74" s="12">
        <v>0.36</v>
      </c>
      <c r="F74" s="13">
        <v>74</v>
      </c>
      <c r="G74" s="14">
        <v>45383</v>
      </c>
      <c r="H74" s="14">
        <v>45901</v>
      </c>
      <c r="I74" s="12" t="s">
        <v>14</v>
      </c>
      <c r="J74" s="12">
        <v>2025</v>
      </c>
      <c r="K74">
        <v>16</v>
      </c>
    </row>
    <row r="75" spans="1:11" x14ac:dyDescent="0.3">
      <c r="A75" s="12" t="s">
        <v>161</v>
      </c>
      <c r="B75" s="12" t="s">
        <v>28</v>
      </c>
      <c r="C75" s="12" t="s">
        <v>19</v>
      </c>
      <c r="D75" s="12" t="s">
        <v>30</v>
      </c>
      <c r="E75" s="12">
        <v>0.33</v>
      </c>
      <c r="F75" s="13">
        <v>77</v>
      </c>
      <c r="G75" s="14">
        <v>45627</v>
      </c>
      <c r="H75" s="14">
        <v>45901</v>
      </c>
      <c r="I75" s="12" t="s">
        <v>14</v>
      </c>
      <c r="J75" s="12">
        <v>2025</v>
      </c>
      <c r="K75">
        <v>17</v>
      </c>
    </row>
    <row r="76" spans="1:11" x14ac:dyDescent="0.3">
      <c r="A76" s="12" t="s">
        <v>81</v>
      </c>
      <c r="B76" s="12" t="s">
        <v>18</v>
      </c>
      <c r="C76" s="12" t="s">
        <v>12</v>
      </c>
      <c r="D76" s="12" t="s">
        <v>82</v>
      </c>
      <c r="E76" s="12">
        <v>1.25</v>
      </c>
      <c r="F76" s="13">
        <v>85</v>
      </c>
      <c r="G76" s="14">
        <v>45658</v>
      </c>
      <c r="H76" s="14">
        <v>45901</v>
      </c>
      <c r="I76" s="12" t="s">
        <v>14</v>
      </c>
      <c r="J76" s="12">
        <v>2025</v>
      </c>
      <c r="K76">
        <v>18</v>
      </c>
    </row>
    <row r="77" spans="1:11" x14ac:dyDescent="0.3">
      <c r="A77" s="12" t="s">
        <v>153</v>
      </c>
      <c r="B77" s="12" t="s">
        <v>57</v>
      </c>
      <c r="C77" s="12" t="s">
        <v>56</v>
      </c>
      <c r="D77" s="12" t="s">
        <v>24</v>
      </c>
      <c r="E77" s="12">
        <v>0.28000000000000003</v>
      </c>
      <c r="F77" s="13">
        <v>38</v>
      </c>
      <c r="G77" s="14">
        <v>45627</v>
      </c>
      <c r="H77" s="14">
        <v>45931</v>
      </c>
      <c r="I77" s="12" t="s">
        <v>73</v>
      </c>
      <c r="J77" s="12">
        <v>2025</v>
      </c>
      <c r="K77">
        <v>19</v>
      </c>
    </row>
    <row r="78" spans="1:11" x14ac:dyDescent="0.3">
      <c r="A78" s="12" t="s">
        <v>83</v>
      </c>
      <c r="B78" s="12" t="s">
        <v>84</v>
      </c>
      <c r="C78" s="12" t="s">
        <v>16</v>
      </c>
      <c r="D78" s="12" t="s">
        <v>85</v>
      </c>
      <c r="E78" s="12">
        <v>1.1000000000000001</v>
      </c>
      <c r="F78" s="13">
        <v>77</v>
      </c>
      <c r="G78" s="14">
        <v>45689</v>
      </c>
      <c r="H78" s="14">
        <v>45931</v>
      </c>
      <c r="I78" s="12" t="s">
        <v>14</v>
      </c>
      <c r="J78" s="12">
        <v>2025</v>
      </c>
      <c r="K78">
        <v>20</v>
      </c>
    </row>
    <row r="79" spans="1:11" x14ac:dyDescent="0.3">
      <c r="A79" s="12" t="s">
        <v>163</v>
      </c>
      <c r="B79" s="12" t="s">
        <v>55</v>
      </c>
      <c r="C79" s="12" t="s">
        <v>12</v>
      </c>
      <c r="D79" s="12" t="s">
        <v>49</v>
      </c>
      <c r="E79" s="12">
        <v>0.95</v>
      </c>
      <c r="F79" s="13">
        <v>69</v>
      </c>
      <c r="G79" s="14">
        <v>45627</v>
      </c>
      <c r="H79" s="14">
        <v>45962</v>
      </c>
      <c r="I79" s="12" t="s">
        <v>27</v>
      </c>
      <c r="J79" s="12">
        <v>2025</v>
      </c>
      <c r="K79">
        <v>21</v>
      </c>
    </row>
    <row r="80" spans="1:11" x14ac:dyDescent="0.3">
      <c r="A80" s="12" t="s">
        <v>86</v>
      </c>
      <c r="B80" s="12" t="s">
        <v>57</v>
      </c>
      <c r="C80" s="12" t="s">
        <v>47</v>
      </c>
      <c r="D80" s="12" t="s">
        <v>87</v>
      </c>
      <c r="E80" s="12">
        <v>0.65</v>
      </c>
      <c r="F80" s="13">
        <v>59</v>
      </c>
      <c r="G80" s="14">
        <v>45717</v>
      </c>
      <c r="H80" s="14">
        <v>45962</v>
      </c>
      <c r="I80" s="12" t="s">
        <v>36</v>
      </c>
      <c r="J80" s="12">
        <v>2025</v>
      </c>
      <c r="K80">
        <v>22</v>
      </c>
    </row>
    <row r="81" spans="1:13" x14ac:dyDescent="0.3">
      <c r="A81" s="12" t="s">
        <v>93</v>
      </c>
      <c r="B81" s="12" t="s">
        <v>94</v>
      </c>
      <c r="C81" s="12" t="s">
        <v>23</v>
      </c>
      <c r="D81" s="12" t="s">
        <v>95</v>
      </c>
      <c r="E81" s="12">
        <v>0.75</v>
      </c>
      <c r="F81" s="13">
        <v>64</v>
      </c>
      <c r="G81" s="14">
        <v>45809</v>
      </c>
      <c r="H81" s="14">
        <v>45962</v>
      </c>
      <c r="I81" s="12" t="s">
        <v>14</v>
      </c>
      <c r="J81" s="12">
        <v>2025</v>
      </c>
      <c r="K81">
        <v>23</v>
      </c>
    </row>
    <row r="82" spans="1:13" x14ac:dyDescent="0.3">
      <c r="A82" s="12" t="s">
        <v>74</v>
      </c>
      <c r="B82" s="12" t="s">
        <v>32</v>
      </c>
      <c r="C82" s="12" t="s">
        <v>19</v>
      </c>
      <c r="D82" s="12" t="s">
        <v>26</v>
      </c>
      <c r="E82" s="12">
        <v>0.24</v>
      </c>
      <c r="F82" s="13">
        <v>32</v>
      </c>
      <c r="G82" s="14">
        <v>45536</v>
      </c>
      <c r="H82" s="14">
        <v>45992</v>
      </c>
      <c r="I82" s="12" t="s">
        <v>14</v>
      </c>
      <c r="J82" s="12">
        <v>2025</v>
      </c>
      <c r="K82">
        <v>24</v>
      </c>
    </row>
    <row r="83" spans="1:13" x14ac:dyDescent="0.3">
      <c r="A83" s="12" t="s">
        <v>158</v>
      </c>
      <c r="B83" s="12" t="s">
        <v>40</v>
      </c>
      <c r="C83" s="12" t="s">
        <v>16</v>
      </c>
      <c r="D83" s="12" t="s">
        <v>26</v>
      </c>
      <c r="E83" s="12">
        <v>0.36</v>
      </c>
      <c r="F83" s="13">
        <v>80</v>
      </c>
      <c r="G83" s="14">
        <v>45352</v>
      </c>
      <c r="H83" s="14">
        <v>45992</v>
      </c>
      <c r="I83" s="12" t="s">
        <v>14</v>
      </c>
      <c r="J83" s="12">
        <v>2025</v>
      </c>
      <c r="K83">
        <v>25</v>
      </c>
    </row>
    <row r="84" spans="1:13" x14ac:dyDescent="0.3">
      <c r="A84" s="12" t="s">
        <v>88</v>
      </c>
      <c r="B84" s="12" t="s">
        <v>89</v>
      </c>
      <c r="C84" s="12" t="s">
        <v>25</v>
      </c>
      <c r="D84" s="12" t="s">
        <v>90</v>
      </c>
      <c r="E84" s="12">
        <v>1.3</v>
      </c>
      <c r="F84" s="13">
        <v>71</v>
      </c>
      <c r="G84" s="14">
        <v>45748</v>
      </c>
      <c r="H84" s="14">
        <v>45992</v>
      </c>
      <c r="I84" s="12" t="s">
        <v>14</v>
      </c>
      <c r="J84" s="12">
        <v>2025</v>
      </c>
      <c r="K84">
        <v>26</v>
      </c>
    </row>
    <row r="85" spans="1:13" x14ac:dyDescent="0.3">
      <c r="A85" s="12" t="s">
        <v>91</v>
      </c>
      <c r="B85" s="12" t="s">
        <v>35</v>
      </c>
      <c r="C85" s="12" t="s">
        <v>29</v>
      </c>
      <c r="D85" s="12" t="s">
        <v>92</v>
      </c>
      <c r="E85" s="12">
        <v>1.9</v>
      </c>
      <c r="F85" s="13">
        <v>100</v>
      </c>
      <c r="G85" s="14">
        <v>45778</v>
      </c>
      <c r="H85" s="14">
        <v>45992</v>
      </c>
      <c r="I85" s="12" t="s">
        <v>27</v>
      </c>
      <c r="J85" s="12">
        <v>2025</v>
      </c>
      <c r="K85">
        <v>27</v>
      </c>
    </row>
    <row r="86" spans="1:13" x14ac:dyDescent="0.3">
      <c r="A86" s="12" t="s">
        <v>155</v>
      </c>
      <c r="B86" s="12" t="s">
        <v>50</v>
      </c>
      <c r="C86" s="12" t="s">
        <v>29</v>
      </c>
      <c r="D86" s="12" t="s">
        <v>34</v>
      </c>
      <c r="E86" s="12">
        <v>0.49</v>
      </c>
      <c r="F86" s="13">
        <v>90</v>
      </c>
      <c r="G86" s="14">
        <v>45627</v>
      </c>
      <c r="H86" s="14">
        <v>46023</v>
      </c>
      <c r="I86" s="12" t="s">
        <v>14</v>
      </c>
      <c r="J86" s="12">
        <v>2025</v>
      </c>
      <c r="K86">
        <v>28</v>
      </c>
      <c r="L86" t="s">
        <v>167</v>
      </c>
      <c r="M86">
        <f>SUM(E59:E86)</f>
        <v>15.180000000000001</v>
      </c>
    </row>
    <row r="87" spans="1:13" x14ac:dyDescent="0.3">
      <c r="A87" s="9" t="s">
        <v>96</v>
      </c>
      <c r="B87" s="9" t="s">
        <v>22</v>
      </c>
      <c r="C87" s="9" t="s">
        <v>16</v>
      </c>
      <c r="D87" s="9" t="s">
        <v>97</v>
      </c>
      <c r="E87" s="9">
        <v>1.1499999999999999</v>
      </c>
      <c r="F87" s="10">
        <v>46</v>
      </c>
      <c r="G87" s="11">
        <v>45839</v>
      </c>
      <c r="H87" s="11">
        <v>46054</v>
      </c>
      <c r="I87" s="9" t="s">
        <v>14</v>
      </c>
      <c r="J87" s="9">
        <v>2026</v>
      </c>
      <c r="K87">
        <v>1</v>
      </c>
    </row>
    <row r="88" spans="1:13" x14ac:dyDescent="0.3">
      <c r="A88" s="9" t="s">
        <v>98</v>
      </c>
      <c r="B88" s="9" t="s">
        <v>99</v>
      </c>
      <c r="C88" s="9" t="s">
        <v>100</v>
      </c>
      <c r="D88" s="9" t="s">
        <v>101</v>
      </c>
      <c r="E88" s="9">
        <v>0.55000000000000004</v>
      </c>
      <c r="F88" s="10">
        <v>23</v>
      </c>
      <c r="G88" s="11">
        <v>45870</v>
      </c>
      <c r="H88" s="11">
        <v>46082</v>
      </c>
      <c r="I88" s="9" t="s">
        <v>14</v>
      </c>
      <c r="J88" s="9">
        <v>2026</v>
      </c>
      <c r="K88">
        <v>2</v>
      </c>
    </row>
    <row r="89" spans="1:13" x14ac:dyDescent="0.3">
      <c r="A89" s="9" t="s">
        <v>166</v>
      </c>
      <c r="B89" s="9" t="s">
        <v>35</v>
      </c>
      <c r="C89" s="9" t="s">
        <v>44</v>
      </c>
      <c r="D89" s="9" t="s">
        <v>20</v>
      </c>
      <c r="E89" s="9">
        <v>0.28000000000000003</v>
      </c>
      <c r="F89" s="10">
        <v>62</v>
      </c>
      <c r="G89" s="11">
        <v>45505</v>
      </c>
      <c r="H89" s="11">
        <v>46082</v>
      </c>
      <c r="I89" s="9" t="s">
        <v>14</v>
      </c>
      <c r="J89" s="9">
        <v>2026</v>
      </c>
      <c r="K89">
        <v>3</v>
      </c>
    </row>
    <row r="90" spans="1:13" x14ac:dyDescent="0.3">
      <c r="A90" s="9" t="s">
        <v>110</v>
      </c>
      <c r="B90" s="9" t="s">
        <v>46</v>
      </c>
      <c r="C90" s="9" t="s">
        <v>111</v>
      </c>
      <c r="D90" s="9" t="s">
        <v>112</v>
      </c>
      <c r="E90" s="9">
        <v>0.6</v>
      </c>
      <c r="F90" s="10">
        <v>36</v>
      </c>
      <c r="G90" s="11">
        <v>45901</v>
      </c>
      <c r="H90" s="11">
        <v>46113</v>
      </c>
      <c r="I90" s="9" t="s">
        <v>14</v>
      </c>
      <c r="J90" s="9">
        <v>2026</v>
      </c>
      <c r="K90">
        <v>4</v>
      </c>
    </row>
    <row r="91" spans="1:13" x14ac:dyDescent="0.3">
      <c r="A91" s="9" t="s">
        <v>77</v>
      </c>
      <c r="B91" s="9" t="s">
        <v>28</v>
      </c>
      <c r="C91" s="9" t="s">
        <v>56</v>
      </c>
      <c r="D91" s="9" t="s">
        <v>34</v>
      </c>
      <c r="E91" s="9">
        <v>0.31</v>
      </c>
      <c r="F91" s="10">
        <v>51</v>
      </c>
      <c r="G91" s="11">
        <v>45597</v>
      </c>
      <c r="H91" s="11">
        <v>46113</v>
      </c>
      <c r="I91" s="9" t="s">
        <v>14</v>
      </c>
      <c r="J91" s="9">
        <v>2026</v>
      </c>
      <c r="K91">
        <v>5</v>
      </c>
    </row>
    <row r="92" spans="1:13" x14ac:dyDescent="0.3">
      <c r="A92" s="9" t="s">
        <v>102</v>
      </c>
      <c r="B92" s="9" t="s">
        <v>15</v>
      </c>
      <c r="C92" s="9" t="s">
        <v>19</v>
      </c>
      <c r="D92" s="9" t="s">
        <v>103</v>
      </c>
      <c r="E92" s="9">
        <v>1</v>
      </c>
      <c r="F92" s="10">
        <v>72</v>
      </c>
      <c r="G92" s="11">
        <v>45901</v>
      </c>
      <c r="H92" s="11">
        <v>46143</v>
      </c>
      <c r="I92" s="9" t="s">
        <v>14</v>
      </c>
      <c r="J92" s="9">
        <v>2026</v>
      </c>
      <c r="K92">
        <v>6</v>
      </c>
    </row>
    <row r="93" spans="1:13" x14ac:dyDescent="0.3">
      <c r="A93" s="9" t="s">
        <v>107</v>
      </c>
      <c r="B93" s="9" t="s">
        <v>43</v>
      </c>
      <c r="C93" s="9" t="s">
        <v>108</v>
      </c>
      <c r="D93" s="9" t="s">
        <v>109</v>
      </c>
      <c r="E93" s="9">
        <v>1.05</v>
      </c>
      <c r="F93" s="10">
        <v>65</v>
      </c>
      <c r="G93" s="11">
        <v>45901</v>
      </c>
      <c r="H93" s="11">
        <v>46143</v>
      </c>
      <c r="I93" s="9" t="s">
        <v>14</v>
      </c>
      <c r="J93" s="9">
        <v>2026</v>
      </c>
      <c r="K93">
        <v>7</v>
      </c>
    </row>
    <row r="94" spans="1:13" x14ac:dyDescent="0.3">
      <c r="A94" s="9" t="s">
        <v>104</v>
      </c>
      <c r="B94" s="9" t="s">
        <v>105</v>
      </c>
      <c r="C94" s="9" t="s">
        <v>25</v>
      </c>
      <c r="D94" s="9" t="s">
        <v>106</v>
      </c>
      <c r="E94" s="9">
        <v>1.1000000000000001</v>
      </c>
      <c r="F94" s="10">
        <v>60</v>
      </c>
      <c r="G94" s="11">
        <v>45901</v>
      </c>
      <c r="H94" s="11">
        <v>46174</v>
      </c>
      <c r="I94" s="9" t="s">
        <v>14</v>
      </c>
      <c r="J94" s="9">
        <v>2026</v>
      </c>
      <c r="K94">
        <v>8</v>
      </c>
    </row>
  </sheetData>
  <sortState xmlns:xlrd2="http://schemas.microsoft.com/office/spreadsheetml/2017/richdata2" ref="A2:J95">
    <sortCondition ref="J1:J95"/>
  </sortState>
  <conditionalFormatting sqref="K1:K1048576">
    <cfRule type="cellIs" dxfId="40" priority="1" operator="lessThan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493EE-8D90-4535-BE10-E4611ABAD3EC}">
  <dimension ref="A1:U94"/>
  <sheetViews>
    <sheetView showGridLines="0" zoomScale="78" zoomScaleNormal="85" workbookViewId="0">
      <pane xSplit="4" ySplit="1" topLeftCell="H3" activePane="bottomRight" state="frozen"/>
      <selection pane="topRight" activeCell="E1" sqref="E1"/>
      <selection pane="bottomLeft" activeCell="A2" sqref="A2"/>
      <selection pane="bottomRight" activeCell="O15" sqref="O15"/>
    </sheetView>
  </sheetViews>
  <sheetFormatPr defaultRowHeight="14.4" x14ac:dyDescent="0.3"/>
  <cols>
    <col min="1" max="1" width="11.109375" bestFit="1" customWidth="1"/>
    <col min="2" max="2" width="28.21875" bestFit="1" customWidth="1"/>
    <col min="3" max="3" width="23.88671875" bestFit="1" customWidth="1"/>
    <col min="4" max="4" width="50" bestFit="1" customWidth="1"/>
    <col min="5" max="5" width="24" bestFit="1" customWidth="1"/>
    <col min="6" max="6" width="21" bestFit="1" customWidth="1"/>
    <col min="7" max="7" width="18.44140625" bestFit="1" customWidth="1"/>
    <col min="8" max="8" width="27.77734375" bestFit="1" customWidth="1"/>
    <col min="9" max="9" width="10.21875" bestFit="1" customWidth="1"/>
    <col min="10" max="10" width="7" bestFit="1" customWidth="1"/>
    <col min="12" max="12" width="15.109375" bestFit="1" customWidth="1"/>
    <col min="13" max="13" width="21.77734375" bestFit="1" customWidth="1"/>
    <col min="14" max="14" width="13.33203125" bestFit="1" customWidth="1"/>
    <col min="17" max="17" width="13.33203125" bestFit="1" customWidth="1"/>
    <col min="21" max="21" width="13.33203125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2" t="s">
        <v>190</v>
      </c>
      <c r="M1" s="2"/>
      <c r="N1" s="2">
        <v>2023</v>
      </c>
      <c r="O1" s="2">
        <v>2024</v>
      </c>
      <c r="P1" s="28">
        <v>2025</v>
      </c>
      <c r="Q1" s="2"/>
      <c r="R1" s="2">
        <v>2023</v>
      </c>
      <c r="S1" s="2">
        <v>2024</v>
      </c>
      <c r="T1" s="2">
        <v>2025</v>
      </c>
      <c r="U1" s="2" t="s">
        <v>172</v>
      </c>
    </row>
    <row r="2" spans="1:21" x14ac:dyDescent="0.3">
      <c r="A2" s="15" t="s">
        <v>21</v>
      </c>
      <c r="B2" s="15" t="s">
        <v>22</v>
      </c>
      <c r="C2" s="15" t="s">
        <v>23</v>
      </c>
      <c r="D2" s="15" t="s">
        <v>24</v>
      </c>
      <c r="E2" s="15">
        <v>0.12</v>
      </c>
      <c r="F2" s="16">
        <v>85</v>
      </c>
      <c r="G2" s="17">
        <v>44621</v>
      </c>
      <c r="H2" s="17">
        <v>44927</v>
      </c>
      <c r="I2" s="3" t="s">
        <v>14</v>
      </c>
      <c r="J2" s="3">
        <v>2023</v>
      </c>
      <c r="L2" s="144" t="s">
        <v>168</v>
      </c>
      <c r="M2" s="145"/>
      <c r="N2" s="2">
        <f>SUM(E2:E5)</f>
        <v>0.82000000000000006</v>
      </c>
      <c r="O2" s="2">
        <f>SUM(E29:E30)</f>
        <v>0.6</v>
      </c>
      <c r="P2" s="28">
        <f>SUM(E59:E63)</f>
        <v>1.75</v>
      </c>
      <c r="Q2" s="2" t="s">
        <v>185</v>
      </c>
      <c r="R2" s="29">
        <f>N2/N6</f>
        <v>0.10947930574098799</v>
      </c>
      <c r="S2" s="29">
        <f>O2/O6</f>
        <v>5.3811659192825101E-2</v>
      </c>
      <c r="T2" s="29">
        <f>P2/P6</f>
        <v>0.1152832674571805</v>
      </c>
      <c r="U2" s="30">
        <f>AVERAGE(R2:T2)</f>
        <v>9.2858077463664535E-2</v>
      </c>
    </row>
    <row r="3" spans="1:21" x14ac:dyDescent="0.3">
      <c r="A3" s="15" t="s">
        <v>130</v>
      </c>
      <c r="B3" s="15" t="s">
        <v>57</v>
      </c>
      <c r="C3" s="15" t="s">
        <v>47</v>
      </c>
      <c r="D3" s="15" t="s">
        <v>26</v>
      </c>
      <c r="E3" s="15">
        <v>0.32</v>
      </c>
      <c r="F3" s="16">
        <v>35</v>
      </c>
      <c r="G3" s="17">
        <v>44896</v>
      </c>
      <c r="H3" s="17">
        <v>44927</v>
      </c>
      <c r="I3" s="3" t="s">
        <v>36</v>
      </c>
      <c r="J3" s="3">
        <v>2023</v>
      </c>
      <c r="L3" s="146" t="s">
        <v>169</v>
      </c>
      <c r="M3" s="147"/>
      <c r="N3" s="2">
        <f>SUM(E6:E9)</f>
        <v>1.1499999999999999</v>
      </c>
      <c r="O3" s="2">
        <f>SUM(E31:E32)</f>
        <v>0.91999999999999993</v>
      </c>
      <c r="P3" s="28">
        <f>SUM(E64:E67)</f>
        <v>1.3499999999999999</v>
      </c>
      <c r="Q3" s="2" t="s">
        <v>186</v>
      </c>
      <c r="R3" s="29">
        <f>N3/N6</f>
        <v>0.1535380507343124</v>
      </c>
      <c r="S3" s="29">
        <f>O3/O6</f>
        <v>8.251121076233181E-2</v>
      </c>
      <c r="T3" s="29">
        <f>P3/P6</f>
        <v>8.8932806324110658E-2</v>
      </c>
      <c r="U3" s="30">
        <f>AVERAGE(R3:T3)</f>
        <v>0.10832735594025163</v>
      </c>
    </row>
    <row r="4" spans="1:21" x14ac:dyDescent="0.3">
      <c r="A4" s="15" t="s">
        <v>114</v>
      </c>
      <c r="B4" s="15" t="s">
        <v>18</v>
      </c>
      <c r="C4" s="15" t="s">
        <v>19</v>
      </c>
      <c r="D4" s="15" t="s">
        <v>20</v>
      </c>
      <c r="E4" s="15">
        <v>0.22</v>
      </c>
      <c r="F4" s="16">
        <v>71</v>
      </c>
      <c r="G4" s="17">
        <v>44743</v>
      </c>
      <c r="H4" s="17">
        <v>44958</v>
      </c>
      <c r="I4" s="3" t="s">
        <v>14</v>
      </c>
      <c r="J4" s="3">
        <v>2023</v>
      </c>
      <c r="L4" s="148" t="s">
        <v>170</v>
      </c>
      <c r="M4" s="149"/>
      <c r="N4" s="2">
        <f>SUM(E10:E16)</f>
        <v>1.8200000000000003</v>
      </c>
      <c r="O4" s="2">
        <f>SUM(E33:E41)</f>
        <v>2.8300000000000005</v>
      </c>
      <c r="P4" s="28">
        <f>SUM(E68:E76)</f>
        <v>4.0600000000000005</v>
      </c>
      <c r="Q4" s="2" t="s">
        <v>187</v>
      </c>
      <c r="R4" s="29">
        <f>N4/N6</f>
        <v>0.2429906542056075</v>
      </c>
      <c r="S4" s="29">
        <f>O4/O6</f>
        <v>0.25381165919282511</v>
      </c>
      <c r="T4" s="29">
        <f>P4/P6</f>
        <v>0.26745718050065881</v>
      </c>
      <c r="U4" s="30">
        <f>AVERAGE(R4:T4)</f>
        <v>0.25475316463303049</v>
      </c>
    </row>
    <row r="5" spans="1:21" x14ac:dyDescent="0.3">
      <c r="A5" s="15" t="s">
        <v>129</v>
      </c>
      <c r="B5" s="15" t="s">
        <v>55</v>
      </c>
      <c r="C5" s="15" t="s">
        <v>56</v>
      </c>
      <c r="D5" s="15" t="s">
        <v>30</v>
      </c>
      <c r="E5" s="15">
        <v>0.16</v>
      </c>
      <c r="F5" s="16">
        <v>65</v>
      </c>
      <c r="G5" s="17">
        <v>44774</v>
      </c>
      <c r="H5" s="17">
        <v>44958</v>
      </c>
      <c r="I5" s="3" t="s">
        <v>14</v>
      </c>
      <c r="J5" s="3">
        <v>2023</v>
      </c>
      <c r="L5" s="150" t="s">
        <v>171</v>
      </c>
      <c r="M5" s="151"/>
      <c r="N5" s="2">
        <f>SUM(E17:E28)</f>
        <v>3.7000000000000006</v>
      </c>
      <c r="O5" s="2">
        <f>SUM(E42:E58)</f>
        <v>6.8000000000000007</v>
      </c>
      <c r="P5" s="28">
        <f>SUM(E77:E86)</f>
        <v>8.02</v>
      </c>
      <c r="Q5" s="2" t="s">
        <v>188</v>
      </c>
      <c r="R5" s="29">
        <f>N5/N6</f>
        <v>0.49399198931909222</v>
      </c>
      <c r="S5" s="29">
        <f>O5/O6</f>
        <v>0.60986547085201792</v>
      </c>
      <c r="T5" s="29">
        <f>P5/P6</f>
        <v>0.52832674571805005</v>
      </c>
      <c r="U5" s="30">
        <f>AVERAGE(R5:T5)</f>
        <v>0.54406140196305341</v>
      </c>
    </row>
    <row r="6" spans="1:21" x14ac:dyDescent="0.3">
      <c r="A6" s="18" t="s">
        <v>54</v>
      </c>
      <c r="B6" s="18" t="s">
        <v>40</v>
      </c>
      <c r="C6" s="18" t="s">
        <v>12</v>
      </c>
      <c r="D6" s="18" t="s">
        <v>26</v>
      </c>
      <c r="E6" s="18">
        <v>0.36</v>
      </c>
      <c r="F6" s="19">
        <v>28</v>
      </c>
      <c r="G6" s="20">
        <v>44927</v>
      </c>
      <c r="H6" s="20">
        <v>45078</v>
      </c>
      <c r="I6" s="3" t="s">
        <v>14</v>
      </c>
      <c r="J6" s="3">
        <v>2023</v>
      </c>
      <c r="L6" s="2"/>
      <c r="M6" s="2" t="s">
        <v>191</v>
      </c>
      <c r="N6" s="2">
        <f>SUM(N2:N5)</f>
        <v>7.49</v>
      </c>
      <c r="O6" s="2">
        <f>SUM(O2:O5)</f>
        <v>11.150000000000002</v>
      </c>
      <c r="P6" s="2">
        <f>SUM(P2:P5)</f>
        <v>15.18</v>
      </c>
      <c r="Q6" s="2"/>
      <c r="R6" s="27"/>
      <c r="S6" s="27"/>
      <c r="T6" s="27"/>
      <c r="U6" s="2"/>
    </row>
    <row r="7" spans="1:21" x14ac:dyDescent="0.3">
      <c r="A7" s="18" t="s">
        <v>113</v>
      </c>
      <c r="B7" s="18" t="s">
        <v>15</v>
      </c>
      <c r="C7" s="18" t="s">
        <v>16</v>
      </c>
      <c r="D7" s="18" t="s">
        <v>17</v>
      </c>
      <c r="E7" s="18">
        <v>0.27</v>
      </c>
      <c r="F7" s="19">
        <v>30</v>
      </c>
      <c r="G7" s="20">
        <v>44835</v>
      </c>
      <c r="H7" s="20">
        <v>45108</v>
      </c>
      <c r="I7" s="3" t="s">
        <v>14</v>
      </c>
      <c r="J7" s="3">
        <v>2023</v>
      </c>
      <c r="L7" s="2" t="s">
        <v>189</v>
      </c>
      <c r="M7" s="2" t="s">
        <v>173</v>
      </c>
      <c r="N7" s="31">
        <f>SUM(E2:E3)/N6</f>
        <v>5.8744993324432573E-2</v>
      </c>
      <c r="O7" s="31">
        <f>E29/O6</f>
        <v>2.2421524663677125E-2</v>
      </c>
      <c r="P7" s="31">
        <f>SUM(E59:E61)/P6</f>
        <v>6.7852437417654815E-2</v>
      </c>
    </row>
    <row r="8" spans="1:21" x14ac:dyDescent="0.3">
      <c r="A8" s="18" t="s">
        <v>31</v>
      </c>
      <c r="B8" s="18" t="s">
        <v>32</v>
      </c>
      <c r="C8" s="18" t="s">
        <v>19</v>
      </c>
      <c r="D8" s="18" t="s">
        <v>13</v>
      </c>
      <c r="E8" s="18">
        <v>0.22</v>
      </c>
      <c r="F8" s="19">
        <v>34</v>
      </c>
      <c r="G8" s="20">
        <v>44986</v>
      </c>
      <c r="H8" s="20">
        <v>45108</v>
      </c>
      <c r="I8" s="3" t="s">
        <v>14</v>
      </c>
      <c r="J8" s="3">
        <v>2023</v>
      </c>
      <c r="L8" s="2"/>
      <c r="M8" s="2" t="s">
        <v>174</v>
      </c>
      <c r="N8" s="31">
        <f>SUM(E4:E5)/N6</f>
        <v>5.0734312416555405E-2</v>
      </c>
      <c r="O8" s="31">
        <f>E30/O6</f>
        <v>3.1390134529147976E-2</v>
      </c>
      <c r="P8" s="31">
        <f>E62/P6</f>
        <v>1.1198945981554678E-2</v>
      </c>
    </row>
    <row r="9" spans="1:21" x14ac:dyDescent="0.3">
      <c r="A9" s="18" t="s">
        <v>122</v>
      </c>
      <c r="B9" s="18" t="s">
        <v>28</v>
      </c>
      <c r="C9" s="18" t="s">
        <v>25</v>
      </c>
      <c r="D9" s="18" t="s">
        <v>17</v>
      </c>
      <c r="E9" s="18">
        <v>0.3</v>
      </c>
      <c r="F9" s="19">
        <v>85</v>
      </c>
      <c r="G9" s="20">
        <v>45017</v>
      </c>
      <c r="H9" s="20">
        <v>45108</v>
      </c>
      <c r="I9" s="3" t="s">
        <v>14</v>
      </c>
      <c r="J9" s="3">
        <v>2023</v>
      </c>
      <c r="L9" s="2"/>
      <c r="M9" s="2" t="s">
        <v>175</v>
      </c>
      <c r="N9" s="31">
        <v>0</v>
      </c>
      <c r="O9" s="31">
        <v>0</v>
      </c>
      <c r="P9" s="31">
        <f>E63/P6</f>
        <v>3.6231884057971016E-2</v>
      </c>
    </row>
    <row r="10" spans="1:21" x14ac:dyDescent="0.3">
      <c r="A10" s="21" t="s">
        <v>10</v>
      </c>
      <c r="B10" s="21" t="s">
        <v>11</v>
      </c>
      <c r="C10" s="21" t="s">
        <v>12</v>
      </c>
      <c r="D10" s="21" t="s">
        <v>13</v>
      </c>
      <c r="E10" s="21">
        <v>0.2</v>
      </c>
      <c r="F10" s="22">
        <v>86</v>
      </c>
      <c r="G10" s="23">
        <v>45047</v>
      </c>
      <c r="H10" s="23">
        <v>45139</v>
      </c>
      <c r="I10" s="3" t="s">
        <v>14</v>
      </c>
      <c r="J10" s="3">
        <v>2023</v>
      </c>
      <c r="L10" s="2"/>
      <c r="M10" s="2" t="s">
        <v>176</v>
      </c>
      <c r="N10" s="31">
        <v>0</v>
      </c>
      <c r="O10" s="31">
        <f>E31/O6</f>
        <v>3.0493273542600893E-2</v>
      </c>
      <c r="P10" s="31">
        <v>0</v>
      </c>
    </row>
    <row r="11" spans="1:21" x14ac:dyDescent="0.3">
      <c r="A11" s="21" t="s">
        <v>118</v>
      </c>
      <c r="B11" s="21" t="s">
        <v>35</v>
      </c>
      <c r="C11" s="21" t="s">
        <v>19</v>
      </c>
      <c r="D11" s="21" t="s">
        <v>17</v>
      </c>
      <c r="E11" s="21">
        <v>0.2</v>
      </c>
      <c r="F11" s="22">
        <v>54</v>
      </c>
      <c r="G11" s="23">
        <v>44986</v>
      </c>
      <c r="H11" s="23">
        <v>45139</v>
      </c>
      <c r="I11" s="3" t="s">
        <v>36</v>
      </c>
      <c r="J11" s="3">
        <v>2023</v>
      </c>
      <c r="L11" s="2"/>
      <c r="M11" s="2" t="s">
        <v>184</v>
      </c>
      <c r="N11" s="31">
        <v>0</v>
      </c>
      <c r="O11" s="31">
        <v>0</v>
      </c>
      <c r="P11" s="31">
        <v>0</v>
      </c>
    </row>
    <row r="12" spans="1:21" x14ac:dyDescent="0.3">
      <c r="A12" s="21" t="s">
        <v>37</v>
      </c>
      <c r="B12" s="21" t="s">
        <v>38</v>
      </c>
      <c r="C12" s="21" t="s">
        <v>39</v>
      </c>
      <c r="D12" s="21" t="s">
        <v>30</v>
      </c>
      <c r="E12" s="21">
        <v>0.38</v>
      </c>
      <c r="F12" s="22">
        <v>75</v>
      </c>
      <c r="G12" s="23">
        <v>44896</v>
      </c>
      <c r="H12" s="23">
        <v>45139</v>
      </c>
      <c r="I12" s="3" t="s">
        <v>14</v>
      </c>
      <c r="J12" s="3">
        <v>2023</v>
      </c>
      <c r="L12" s="2"/>
      <c r="M12" s="2" t="s">
        <v>178</v>
      </c>
      <c r="N12" s="31">
        <f>E6/N6</f>
        <v>4.8064085447263011E-2</v>
      </c>
      <c r="O12" s="31">
        <f>E32/O6</f>
        <v>5.2017937219730928E-2</v>
      </c>
      <c r="P12" s="31">
        <f>E64/P6</f>
        <v>3.4255599472990776E-2</v>
      </c>
    </row>
    <row r="13" spans="1:21" x14ac:dyDescent="0.3">
      <c r="A13" s="21" t="s">
        <v>45</v>
      </c>
      <c r="B13" s="21" t="s">
        <v>46</v>
      </c>
      <c r="C13" s="21" t="s">
        <v>12</v>
      </c>
      <c r="D13" s="21" t="s">
        <v>34</v>
      </c>
      <c r="E13" s="21">
        <v>0.28999999999999998</v>
      </c>
      <c r="F13" s="22">
        <v>77</v>
      </c>
      <c r="G13" s="23">
        <v>44986</v>
      </c>
      <c r="H13" s="23">
        <v>45139</v>
      </c>
      <c r="I13" s="3" t="s">
        <v>14</v>
      </c>
      <c r="J13" s="3">
        <v>2023</v>
      </c>
      <c r="L13" s="2"/>
      <c r="M13" s="2" t="s">
        <v>177</v>
      </c>
      <c r="N13" s="31">
        <f>SUM(E7:E9)/N6</f>
        <v>0.1054739652870494</v>
      </c>
      <c r="O13" s="31">
        <f>SUM(E33:E35)/O6</f>
        <v>8.9686098654708502E-2</v>
      </c>
      <c r="P13" s="31">
        <f>SUM(E65:E67)/P6</f>
        <v>5.4677206851119896E-2</v>
      </c>
    </row>
    <row r="14" spans="1:21" x14ac:dyDescent="0.3">
      <c r="A14" s="21" t="s">
        <v>48</v>
      </c>
      <c r="B14" s="21" t="s">
        <v>33</v>
      </c>
      <c r="C14" s="21" t="s">
        <v>19</v>
      </c>
      <c r="D14" s="21" t="s">
        <v>49</v>
      </c>
      <c r="E14" s="21">
        <v>0.4</v>
      </c>
      <c r="F14" s="22">
        <v>66</v>
      </c>
      <c r="G14" s="23">
        <v>44986</v>
      </c>
      <c r="H14" s="23">
        <v>45139</v>
      </c>
      <c r="I14" s="3" t="s">
        <v>14</v>
      </c>
      <c r="J14" s="3">
        <v>2023</v>
      </c>
      <c r="L14" s="2"/>
      <c r="M14" s="2" t="s">
        <v>179</v>
      </c>
      <c r="N14" s="31">
        <f>SUM(E10:E14)/N6</f>
        <v>0.19626168224299068</v>
      </c>
      <c r="O14" s="31">
        <f>E36/O6</f>
        <v>5.5605381165919274E-2</v>
      </c>
      <c r="P14" s="31">
        <f>SUM(E68:E70)/P6</f>
        <v>7.6416337285902497E-2</v>
      </c>
    </row>
    <row r="15" spans="1:21" x14ac:dyDescent="0.3">
      <c r="A15" s="21" t="s">
        <v>42</v>
      </c>
      <c r="B15" s="21" t="s">
        <v>43</v>
      </c>
      <c r="C15" s="21" t="s">
        <v>44</v>
      </c>
      <c r="D15" s="21" t="s">
        <v>26</v>
      </c>
      <c r="E15" s="21">
        <v>0.24</v>
      </c>
      <c r="F15" s="22">
        <v>46</v>
      </c>
      <c r="G15" s="23">
        <v>44896</v>
      </c>
      <c r="H15" s="23">
        <v>45170</v>
      </c>
      <c r="I15" s="3" t="s">
        <v>14</v>
      </c>
      <c r="J15" s="3">
        <v>2023</v>
      </c>
      <c r="L15" s="2"/>
      <c r="M15" s="2" t="s">
        <v>180</v>
      </c>
      <c r="N15" s="31">
        <f>SUM(E15:E16)/N6</f>
        <v>4.6728971962616821E-2</v>
      </c>
      <c r="O15" s="31">
        <f>SUM(E37:E41)/O6</f>
        <v>0.10852017937219728</v>
      </c>
      <c r="P15" s="31">
        <f>SUM(E71:E76)/P6</f>
        <v>0.19104084321475626</v>
      </c>
    </row>
    <row r="16" spans="1:21" x14ac:dyDescent="0.3">
      <c r="A16" s="21" t="s">
        <v>52</v>
      </c>
      <c r="B16" s="21" t="s">
        <v>28</v>
      </c>
      <c r="C16" s="21" t="s">
        <v>16</v>
      </c>
      <c r="D16" s="21" t="s">
        <v>30</v>
      </c>
      <c r="E16" s="21">
        <v>0.11</v>
      </c>
      <c r="F16" s="22">
        <v>52</v>
      </c>
      <c r="G16" s="23">
        <v>44958</v>
      </c>
      <c r="H16" s="23">
        <v>45170</v>
      </c>
      <c r="I16" s="3" t="s">
        <v>14</v>
      </c>
      <c r="J16" s="3">
        <v>2023</v>
      </c>
      <c r="L16" s="2"/>
      <c r="M16" s="2" t="s">
        <v>181</v>
      </c>
      <c r="N16" s="32">
        <f>SUM(E17:E18)/N6</f>
        <v>4.8064085447263011E-2</v>
      </c>
      <c r="O16" s="31">
        <f>SUM(E42:E44)/O6</f>
        <v>9.8654708520179366E-2</v>
      </c>
      <c r="P16" s="31">
        <f>SUM(E77:E78)/P6</f>
        <v>9.0909090909090912E-2</v>
      </c>
    </row>
    <row r="17" spans="1:16" x14ac:dyDescent="0.3">
      <c r="A17" s="24" t="s">
        <v>120</v>
      </c>
      <c r="B17" s="24" t="s">
        <v>41</v>
      </c>
      <c r="C17" s="24" t="s">
        <v>12</v>
      </c>
      <c r="D17" s="24" t="s">
        <v>13</v>
      </c>
      <c r="E17" s="24">
        <v>0.26</v>
      </c>
      <c r="F17" s="25">
        <v>37</v>
      </c>
      <c r="G17" s="26">
        <v>44927</v>
      </c>
      <c r="H17" s="26">
        <v>45200</v>
      </c>
      <c r="I17" s="3" t="s">
        <v>14</v>
      </c>
      <c r="J17" s="3">
        <v>2023</v>
      </c>
      <c r="L17" s="2"/>
      <c r="M17" s="2" t="s">
        <v>182</v>
      </c>
      <c r="N17" s="31">
        <f>SUM(E19:E20)/N6</f>
        <v>7.8771695594125488E-2</v>
      </c>
      <c r="O17" s="31">
        <f>SUM(E46:E48)/O6</f>
        <v>9.5964125560538086E-2</v>
      </c>
      <c r="P17" s="31">
        <f>SUM(E79:E81)/P6</f>
        <v>0.15480895915678525</v>
      </c>
    </row>
    <row r="18" spans="1:16" x14ac:dyDescent="0.3">
      <c r="A18" s="24" t="s">
        <v>126</v>
      </c>
      <c r="B18" s="24" t="s">
        <v>51</v>
      </c>
      <c r="C18" s="24" t="s">
        <v>23</v>
      </c>
      <c r="D18" s="24" t="s">
        <v>17</v>
      </c>
      <c r="E18" s="24">
        <v>0.1</v>
      </c>
      <c r="F18" s="25">
        <v>44</v>
      </c>
      <c r="G18" s="26">
        <v>45108</v>
      </c>
      <c r="H18" s="26">
        <v>45200</v>
      </c>
      <c r="I18" s="3" t="s">
        <v>14</v>
      </c>
      <c r="J18" s="3">
        <v>2023</v>
      </c>
      <c r="L18" s="2"/>
      <c r="M18" s="2" t="s">
        <v>183</v>
      </c>
      <c r="N18" s="31">
        <f>SUM(E21:E28)/N6</f>
        <v>0.36715620827770362</v>
      </c>
      <c r="O18" s="31">
        <f>SUM(E49:E58)/6</f>
        <v>0.71833333333333338</v>
      </c>
      <c r="P18" s="31">
        <f>SUM(E82:E86)/P6</f>
        <v>0.28260869565217395</v>
      </c>
    </row>
    <row r="19" spans="1:16" x14ac:dyDescent="0.3">
      <c r="A19" s="24" t="s">
        <v>119</v>
      </c>
      <c r="B19" s="24" t="s">
        <v>40</v>
      </c>
      <c r="C19" s="24" t="s">
        <v>12</v>
      </c>
      <c r="D19" s="24" t="s">
        <v>26</v>
      </c>
      <c r="E19" s="24">
        <v>0.36</v>
      </c>
      <c r="F19" s="25">
        <v>88</v>
      </c>
      <c r="G19" s="26">
        <v>45078</v>
      </c>
      <c r="H19" s="26">
        <v>45231</v>
      </c>
      <c r="I19" s="3" t="s">
        <v>14</v>
      </c>
      <c r="J19" s="3">
        <v>2023</v>
      </c>
    </row>
    <row r="20" spans="1:16" x14ac:dyDescent="0.3">
      <c r="A20" s="24" t="s">
        <v>125</v>
      </c>
      <c r="B20" s="24" t="s">
        <v>50</v>
      </c>
      <c r="C20" s="24" t="s">
        <v>29</v>
      </c>
      <c r="D20" s="24" t="s">
        <v>24</v>
      </c>
      <c r="E20" s="24">
        <v>0.23</v>
      </c>
      <c r="F20" s="25">
        <v>21</v>
      </c>
      <c r="G20" s="26">
        <v>45170</v>
      </c>
      <c r="H20" s="26">
        <v>45231</v>
      </c>
      <c r="I20" s="3" t="s">
        <v>14</v>
      </c>
      <c r="J20" s="3">
        <v>2023</v>
      </c>
    </row>
    <row r="21" spans="1:16" x14ac:dyDescent="0.3">
      <c r="A21" s="24" t="s">
        <v>115</v>
      </c>
      <c r="B21" s="24" t="s">
        <v>18</v>
      </c>
      <c r="C21" s="24" t="s">
        <v>25</v>
      </c>
      <c r="D21" s="24" t="s">
        <v>26</v>
      </c>
      <c r="E21" s="24">
        <v>0.48</v>
      </c>
      <c r="F21" s="25">
        <v>47</v>
      </c>
      <c r="G21" s="26">
        <v>44927</v>
      </c>
      <c r="H21" s="26">
        <v>45261</v>
      </c>
      <c r="I21" s="3" t="s">
        <v>27</v>
      </c>
      <c r="J21" s="3">
        <v>2023</v>
      </c>
    </row>
    <row r="22" spans="1:16" x14ac:dyDescent="0.3">
      <c r="A22" s="24" t="s">
        <v>116</v>
      </c>
      <c r="B22" s="24" t="s">
        <v>28</v>
      </c>
      <c r="C22" s="24" t="s">
        <v>29</v>
      </c>
      <c r="D22" s="24" t="s">
        <v>30</v>
      </c>
      <c r="E22" s="24">
        <v>0.45</v>
      </c>
      <c r="F22" s="25">
        <v>26</v>
      </c>
      <c r="G22" s="26">
        <v>44866</v>
      </c>
      <c r="H22" s="26">
        <v>45261</v>
      </c>
      <c r="I22" s="3" t="s">
        <v>14</v>
      </c>
      <c r="J22" s="3">
        <v>2023</v>
      </c>
    </row>
    <row r="23" spans="1:16" x14ac:dyDescent="0.3">
      <c r="A23" s="24" t="s">
        <v>117</v>
      </c>
      <c r="B23" s="24" t="s">
        <v>33</v>
      </c>
      <c r="C23" s="24" t="s">
        <v>23</v>
      </c>
      <c r="D23" s="24" t="s">
        <v>34</v>
      </c>
      <c r="E23" s="24">
        <v>0.16</v>
      </c>
      <c r="F23" s="25">
        <v>84</v>
      </c>
      <c r="G23" s="26">
        <v>45017</v>
      </c>
      <c r="H23" s="26">
        <v>45261</v>
      </c>
      <c r="I23" s="3" t="s">
        <v>14</v>
      </c>
      <c r="J23" s="3">
        <v>2023</v>
      </c>
    </row>
    <row r="24" spans="1:16" x14ac:dyDescent="0.3">
      <c r="A24" s="24" t="s">
        <v>121</v>
      </c>
      <c r="B24" s="24" t="s">
        <v>15</v>
      </c>
      <c r="C24" s="24" t="s">
        <v>19</v>
      </c>
      <c r="D24" s="24" t="s">
        <v>26</v>
      </c>
      <c r="E24" s="24">
        <v>0.25</v>
      </c>
      <c r="F24" s="25">
        <v>61</v>
      </c>
      <c r="G24" s="26">
        <v>44866</v>
      </c>
      <c r="H24" s="26">
        <v>45261</v>
      </c>
      <c r="I24" s="3" t="s">
        <v>27</v>
      </c>
      <c r="J24" s="3">
        <v>2023</v>
      </c>
    </row>
    <row r="25" spans="1:16" x14ac:dyDescent="0.3">
      <c r="A25" s="24" t="s">
        <v>123</v>
      </c>
      <c r="B25" s="24" t="s">
        <v>38</v>
      </c>
      <c r="C25" s="24" t="s">
        <v>47</v>
      </c>
      <c r="D25" s="24" t="s">
        <v>24</v>
      </c>
      <c r="E25" s="24">
        <v>0.28000000000000003</v>
      </c>
      <c r="F25" s="25">
        <v>48</v>
      </c>
      <c r="G25" s="26">
        <v>45170</v>
      </c>
      <c r="H25" s="26">
        <v>45261</v>
      </c>
      <c r="I25" s="3" t="s">
        <v>14</v>
      </c>
      <c r="J25" s="3">
        <v>2023</v>
      </c>
    </row>
    <row r="26" spans="1:16" x14ac:dyDescent="0.3">
      <c r="A26" s="24" t="s">
        <v>127</v>
      </c>
      <c r="B26" s="24" t="s">
        <v>51</v>
      </c>
      <c r="C26" s="24" t="s">
        <v>25</v>
      </c>
      <c r="D26" s="24" t="s">
        <v>34</v>
      </c>
      <c r="E26" s="24">
        <v>0.6</v>
      </c>
      <c r="F26" s="25">
        <v>42</v>
      </c>
      <c r="G26" s="26">
        <v>44927</v>
      </c>
      <c r="H26" s="26">
        <v>45261</v>
      </c>
      <c r="I26" s="3" t="s">
        <v>27</v>
      </c>
      <c r="J26" s="3">
        <v>2023</v>
      </c>
    </row>
    <row r="27" spans="1:16" x14ac:dyDescent="0.3">
      <c r="A27" s="24" t="s">
        <v>128</v>
      </c>
      <c r="B27" s="24" t="s">
        <v>53</v>
      </c>
      <c r="C27" s="24" t="s">
        <v>25</v>
      </c>
      <c r="D27" s="24" t="s">
        <v>20</v>
      </c>
      <c r="E27" s="24">
        <v>0.35</v>
      </c>
      <c r="F27" s="25">
        <v>100</v>
      </c>
      <c r="G27" s="26">
        <v>44986</v>
      </c>
      <c r="H27" s="26">
        <v>45261</v>
      </c>
      <c r="I27" s="3" t="s">
        <v>14</v>
      </c>
      <c r="J27" s="3">
        <v>2023</v>
      </c>
    </row>
    <row r="28" spans="1:16" x14ac:dyDescent="0.3">
      <c r="A28" s="24" t="s">
        <v>124</v>
      </c>
      <c r="B28" s="24" t="s">
        <v>46</v>
      </c>
      <c r="C28" s="24" t="s">
        <v>19</v>
      </c>
      <c r="D28" s="24" t="s">
        <v>26</v>
      </c>
      <c r="E28" s="24">
        <v>0.18</v>
      </c>
      <c r="F28" s="25">
        <v>58</v>
      </c>
      <c r="G28" s="26">
        <v>45170</v>
      </c>
      <c r="H28" s="26">
        <v>45261</v>
      </c>
      <c r="I28" s="3" t="s">
        <v>36</v>
      </c>
      <c r="J28" s="3">
        <v>2023</v>
      </c>
    </row>
    <row r="29" spans="1:16" x14ac:dyDescent="0.3">
      <c r="A29" s="15" t="s">
        <v>141</v>
      </c>
      <c r="B29" s="15" t="s">
        <v>38</v>
      </c>
      <c r="C29" s="15" t="s">
        <v>12</v>
      </c>
      <c r="D29" s="15" t="s">
        <v>34</v>
      </c>
      <c r="E29" s="15">
        <v>0.25</v>
      </c>
      <c r="F29" s="16">
        <v>79</v>
      </c>
      <c r="G29" s="17">
        <v>45139</v>
      </c>
      <c r="H29" s="17">
        <v>45292</v>
      </c>
      <c r="I29" s="6" t="s">
        <v>14</v>
      </c>
      <c r="J29" s="6">
        <v>2024</v>
      </c>
    </row>
    <row r="30" spans="1:16" x14ac:dyDescent="0.3">
      <c r="A30" s="15" t="s">
        <v>136</v>
      </c>
      <c r="B30" s="15" t="s">
        <v>32</v>
      </c>
      <c r="C30" s="15" t="s">
        <v>23</v>
      </c>
      <c r="D30" s="15" t="s">
        <v>13</v>
      </c>
      <c r="E30" s="15">
        <v>0.35</v>
      </c>
      <c r="F30" s="16">
        <v>97</v>
      </c>
      <c r="G30" s="17">
        <v>45017</v>
      </c>
      <c r="H30" s="17">
        <v>45323</v>
      </c>
      <c r="I30" s="6" t="s">
        <v>14</v>
      </c>
      <c r="J30" s="6">
        <v>2024</v>
      </c>
    </row>
    <row r="31" spans="1:16" x14ac:dyDescent="0.3">
      <c r="A31" s="18" t="s">
        <v>58</v>
      </c>
      <c r="B31" s="18" t="s">
        <v>35</v>
      </c>
      <c r="C31" s="18" t="s">
        <v>12</v>
      </c>
      <c r="D31" s="18" t="s">
        <v>26</v>
      </c>
      <c r="E31" s="18">
        <v>0.34</v>
      </c>
      <c r="F31" s="19">
        <v>100</v>
      </c>
      <c r="G31" s="20">
        <v>45047</v>
      </c>
      <c r="H31" s="20">
        <v>45383</v>
      </c>
      <c r="I31" s="6" t="s">
        <v>14</v>
      </c>
      <c r="J31" s="6">
        <v>2024</v>
      </c>
    </row>
    <row r="32" spans="1:16" x14ac:dyDescent="0.3">
      <c r="A32" s="18" t="s">
        <v>143</v>
      </c>
      <c r="B32" s="18" t="s">
        <v>67</v>
      </c>
      <c r="C32" s="18" t="s">
        <v>12</v>
      </c>
      <c r="D32" s="18" t="s">
        <v>30</v>
      </c>
      <c r="E32" s="18">
        <v>0.57999999999999996</v>
      </c>
      <c r="F32" s="19">
        <v>68</v>
      </c>
      <c r="G32" s="20">
        <v>45383</v>
      </c>
      <c r="H32" s="20">
        <v>45444</v>
      </c>
      <c r="I32" s="6" t="s">
        <v>14</v>
      </c>
      <c r="J32" s="6">
        <v>2024</v>
      </c>
    </row>
    <row r="33" spans="1:10" x14ac:dyDescent="0.3">
      <c r="A33" s="21" t="s">
        <v>131</v>
      </c>
      <c r="B33" s="21" t="s">
        <v>15</v>
      </c>
      <c r="C33" s="21" t="s">
        <v>12</v>
      </c>
      <c r="D33" s="21" t="s">
        <v>17</v>
      </c>
      <c r="E33" s="21">
        <v>0.16</v>
      </c>
      <c r="F33" s="22">
        <v>44</v>
      </c>
      <c r="G33" s="23">
        <v>45323</v>
      </c>
      <c r="H33" s="23">
        <v>45474</v>
      </c>
      <c r="I33" s="6" t="s">
        <v>36</v>
      </c>
      <c r="J33" s="6">
        <v>2024</v>
      </c>
    </row>
    <row r="34" spans="1:10" x14ac:dyDescent="0.3">
      <c r="A34" s="21" t="s">
        <v>138</v>
      </c>
      <c r="B34" s="21" t="s">
        <v>50</v>
      </c>
      <c r="C34" s="21" t="s">
        <v>23</v>
      </c>
      <c r="D34" s="21" t="s">
        <v>34</v>
      </c>
      <c r="E34" s="21">
        <v>0.36</v>
      </c>
      <c r="F34" s="22">
        <v>37</v>
      </c>
      <c r="G34" s="23">
        <v>45108</v>
      </c>
      <c r="H34" s="23">
        <v>45474</v>
      </c>
      <c r="I34" s="6" t="s">
        <v>36</v>
      </c>
      <c r="J34" s="6">
        <v>2024</v>
      </c>
    </row>
    <row r="35" spans="1:10" x14ac:dyDescent="0.3">
      <c r="A35" s="21" t="s">
        <v>68</v>
      </c>
      <c r="B35" s="21" t="s">
        <v>43</v>
      </c>
      <c r="C35" s="21" t="s">
        <v>47</v>
      </c>
      <c r="D35" s="21" t="s">
        <v>24</v>
      </c>
      <c r="E35" s="21">
        <v>0.48</v>
      </c>
      <c r="F35" s="22">
        <v>22</v>
      </c>
      <c r="G35" s="23">
        <v>45323</v>
      </c>
      <c r="H35" s="23">
        <v>45474</v>
      </c>
      <c r="I35" s="6" t="s">
        <v>36</v>
      </c>
      <c r="J35" s="6">
        <v>2024</v>
      </c>
    </row>
    <row r="36" spans="1:10" x14ac:dyDescent="0.3">
      <c r="A36" s="21" t="s">
        <v>144</v>
      </c>
      <c r="B36" s="21" t="s">
        <v>41</v>
      </c>
      <c r="C36" s="21" t="s">
        <v>29</v>
      </c>
      <c r="D36" s="21" t="s">
        <v>20</v>
      </c>
      <c r="E36" s="21">
        <v>0.62</v>
      </c>
      <c r="F36" s="22">
        <v>21</v>
      </c>
      <c r="G36" s="23">
        <v>45292</v>
      </c>
      <c r="H36" s="23">
        <v>45505</v>
      </c>
      <c r="I36" s="6" t="s">
        <v>14</v>
      </c>
      <c r="J36" s="6">
        <v>2024</v>
      </c>
    </row>
    <row r="37" spans="1:10" x14ac:dyDescent="0.3">
      <c r="A37" s="21" t="s">
        <v>132</v>
      </c>
      <c r="B37" s="21" t="s">
        <v>11</v>
      </c>
      <c r="C37" s="21" t="s">
        <v>23</v>
      </c>
      <c r="D37" s="21" t="s">
        <v>34</v>
      </c>
      <c r="E37" s="21">
        <v>0.23</v>
      </c>
      <c r="F37" s="22">
        <v>74</v>
      </c>
      <c r="G37" s="23">
        <v>45292</v>
      </c>
      <c r="H37" s="23">
        <v>45536</v>
      </c>
      <c r="I37" s="6" t="s">
        <v>14</v>
      </c>
      <c r="J37" s="6">
        <v>2024</v>
      </c>
    </row>
    <row r="38" spans="1:10" x14ac:dyDescent="0.3">
      <c r="A38" s="21" t="s">
        <v>61</v>
      </c>
      <c r="B38" s="21" t="s">
        <v>15</v>
      </c>
      <c r="C38" s="21" t="s">
        <v>19</v>
      </c>
      <c r="D38" s="21" t="s">
        <v>26</v>
      </c>
      <c r="E38" s="21">
        <v>0.2</v>
      </c>
      <c r="F38" s="22">
        <v>28</v>
      </c>
      <c r="G38" s="23">
        <v>45292</v>
      </c>
      <c r="H38" s="23">
        <v>45536</v>
      </c>
      <c r="I38" s="6" t="s">
        <v>14</v>
      </c>
      <c r="J38" s="6">
        <v>2024</v>
      </c>
    </row>
    <row r="39" spans="1:10" x14ac:dyDescent="0.3">
      <c r="A39" s="21" t="s">
        <v>63</v>
      </c>
      <c r="B39" s="21" t="s">
        <v>55</v>
      </c>
      <c r="C39" s="21" t="s">
        <v>16</v>
      </c>
      <c r="D39" s="21" t="s">
        <v>13</v>
      </c>
      <c r="E39" s="21">
        <v>0.22</v>
      </c>
      <c r="F39" s="22">
        <v>75</v>
      </c>
      <c r="G39" s="23">
        <v>45292</v>
      </c>
      <c r="H39" s="23">
        <v>45536</v>
      </c>
      <c r="I39" s="6" t="s">
        <v>14</v>
      </c>
      <c r="J39" s="6">
        <v>2024</v>
      </c>
    </row>
    <row r="40" spans="1:10" x14ac:dyDescent="0.3">
      <c r="A40" s="21" t="s">
        <v>145</v>
      </c>
      <c r="B40" s="21" t="s">
        <v>28</v>
      </c>
      <c r="C40" s="21" t="s">
        <v>39</v>
      </c>
      <c r="D40" s="21" t="s">
        <v>13</v>
      </c>
      <c r="E40" s="21">
        <v>0.11</v>
      </c>
      <c r="F40" s="22">
        <v>48</v>
      </c>
      <c r="G40" s="23">
        <v>45323</v>
      </c>
      <c r="H40" s="23">
        <v>45536</v>
      </c>
      <c r="I40" s="6" t="s">
        <v>14</v>
      </c>
      <c r="J40" s="6">
        <v>2024</v>
      </c>
    </row>
    <row r="41" spans="1:10" x14ac:dyDescent="0.3">
      <c r="A41" s="21" t="s">
        <v>149</v>
      </c>
      <c r="B41" s="21" t="s">
        <v>18</v>
      </c>
      <c r="C41" s="21" t="s">
        <v>25</v>
      </c>
      <c r="D41" s="21" t="s">
        <v>30</v>
      </c>
      <c r="E41" s="21">
        <v>0.45</v>
      </c>
      <c r="F41" s="22">
        <v>86</v>
      </c>
      <c r="G41" s="23">
        <v>45383</v>
      </c>
      <c r="H41" s="23">
        <v>45536</v>
      </c>
      <c r="I41" s="6" t="s">
        <v>14</v>
      </c>
      <c r="J41" s="6">
        <v>2024</v>
      </c>
    </row>
    <row r="42" spans="1:10" x14ac:dyDescent="0.3">
      <c r="A42" s="24" t="s">
        <v>134</v>
      </c>
      <c r="B42" s="24" t="s">
        <v>35</v>
      </c>
      <c r="C42" s="24" t="s">
        <v>19</v>
      </c>
      <c r="D42" s="24" t="s">
        <v>34</v>
      </c>
      <c r="E42" s="24">
        <v>0.38</v>
      </c>
      <c r="F42" s="25">
        <v>32</v>
      </c>
      <c r="G42" s="26">
        <v>45413</v>
      </c>
      <c r="H42" s="26">
        <v>45566</v>
      </c>
      <c r="I42" s="6" t="s">
        <v>14</v>
      </c>
      <c r="J42" s="6">
        <v>2024</v>
      </c>
    </row>
    <row r="43" spans="1:10" x14ac:dyDescent="0.3">
      <c r="A43" s="24" t="s">
        <v>65</v>
      </c>
      <c r="B43" s="24" t="s">
        <v>11</v>
      </c>
      <c r="C43" s="24" t="s">
        <v>19</v>
      </c>
      <c r="D43" s="24" t="s">
        <v>64</v>
      </c>
      <c r="E43" s="24">
        <v>0.35</v>
      </c>
      <c r="F43" s="25">
        <v>70</v>
      </c>
      <c r="G43" s="26">
        <v>45292</v>
      </c>
      <c r="H43" s="26">
        <v>45566</v>
      </c>
      <c r="I43" s="6" t="s">
        <v>14</v>
      </c>
      <c r="J43" s="6">
        <v>2024</v>
      </c>
    </row>
    <row r="44" spans="1:10" x14ac:dyDescent="0.3">
      <c r="A44" s="24" t="s">
        <v>147</v>
      </c>
      <c r="B44" s="24" t="s">
        <v>18</v>
      </c>
      <c r="C44" s="24" t="s">
        <v>25</v>
      </c>
      <c r="D44" s="24" t="s">
        <v>17</v>
      </c>
      <c r="E44" s="24">
        <v>0.37</v>
      </c>
      <c r="F44" s="25">
        <v>92</v>
      </c>
      <c r="G44" s="26">
        <v>44986</v>
      </c>
      <c r="H44" s="26">
        <v>45566</v>
      </c>
      <c r="I44" s="6" t="s">
        <v>14</v>
      </c>
      <c r="J44" s="6">
        <v>2024</v>
      </c>
    </row>
    <row r="45" spans="1:10" x14ac:dyDescent="0.3">
      <c r="A45" s="24" t="s">
        <v>150</v>
      </c>
      <c r="B45" s="24" t="s">
        <v>57</v>
      </c>
      <c r="C45" s="24" t="s">
        <v>25</v>
      </c>
      <c r="D45" s="24" t="s">
        <v>17</v>
      </c>
      <c r="E45" s="24">
        <v>0.32</v>
      </c>
      <c r="F45" s="25">
        <v>80</v>
      </c>
      <c r="G45" s="26">
        <v>45323</v>
      </c>
      <c r="H45" s="26">
        <v>45566</v>
      </c>
      <c r="I45" s="6" t="s">
        <v>14</v>
      </c>
      <c r="J45" s="6">
        <v>2024</v>
      </c>
    </row>
    <row r="46" spans="1:10" x14ac:dyDescent="0.3">
      <c r="A46" s="24" t="s">
        <v>59</v>
      </c>
      <c r="B46" s="24" t="s">
        <v>41</v>
      </c>
      <c r="C46" s="24" t="s">
        <v>56</v>
      </c>
      <c r="D46" s="24" t="s">
        <v>60</v>
      </c>
      <c r="E46" s="24">
        <v>0.25</v>
      </c>
      <c r="F46" s="25">
        <v>29</v>
      </c>
      <c r="G46" s="26">
        <v>45383</v>
      </c>
      <c r="H46" s="26">
        <v>45597</v>
      </c>
      <c r="I46" s="6" t="s">
        <v>14</v>
      </c>
      <c r="J46" s="6">
        <v>2024</v>
      </c>
    </row>
    <row r="47" spans="1:10" x14ac:dyDescent="0.3">
      <c r="A47" s="24" t="s">
        <v>139</v>
      </c>
      <c r="B47" s="24" t="s">
        <v>40</v>
      </c>
      <c r="C47" s="24" t="s">
        <v>39</v>
      </c>
      <c r="D47" s="24" t="s">
        <v>64</v>
      </c>
      <c r="E47" s="24">
        <v>0.46</v>
      </c>
      <c r="F47" s="25">
        <v>26</v>
      </c>
      <c r="G47" s="26">
        <v>45017</v>
      </c>
      <c r="H47" s="26">
        <v>45597</v>
      </c>
      <c r="I47" s="6" t="s">
        <v>14</v>
      </c>
      <c r="J47" s="6">
        <v>2024</v>
      </c>
    </row>
    <row r="48" spans="1:10" x14ac:dyDescent="0.3">
      <c r="A48" s="24" t="s">
        <v>146</v>
      </c>
      <c r="B48" s="24" t="s">
        <v>33</v>
      </c>
      <c r="C48" s="24" t="s">
        <v>25</v>
      </c>
      <c r="D48" s="24" t="s">
        <v>13</v>
      </c>
      <c r="E48" s="24">
        <v>0.36</v>
      </c>
      <c r="F48" s="25">
        <v>28</v>
      </c>
      <c r="G48" s="26">
        <v>45474</v>
      </c>
      <c r="H48" s="26">
        <v>45597</v>
      </c>
      <c r="I48" s="6" t="s">
        <v>14</v>
      </c>
      <c r="J48" s="6">
        <v>2024</v>
      </c>
    </row>
    <row r="49" spans="1:10" x14ac:dyDescent="0.3">
      <c r="A49" s="24" t="s">
        <v>133</v>
      </c>
      <c r="B49" s="24" t="s">
        <v>51</v>
      </c>
      <c r="C49" s="24" t="s">
        <v>44</v>
      </c>
      <c r="D49" s="24" t="s">
        <v>34</v>
      </c>
      <c r="E49" s="24">
        <v>0.77</v>
      </c>
      <c r="F49" s="25">
        <v>97</v>
      </c>
      <c r="G49" s="26">
        <v>45413</v>
      </c>
      <c r="H49" s="26">
        <v>45627</v>
      </c>
      <c r="I49" s="6" t="s">
        <v>27</v>
      </c>
      <c r="J49" s="6">
        <v>2024</v>
      </c>
    </row>
    <row r="50" spans="1:10" x14ac:dyDescent="0.3">
      <c r="A50" s="24" t="s">
        <v>135</v>
      </c>
      <c r="B50" s="24" t="s">
        <v>57</v>
      </c>
      <c r="C50" s="24" t="s">
        <v>12</v>
      </c>
      <c r="D50" s="24" t="s">
        <v>60</v>
      </c>
      <c r="E50" s="24">
        <v>0.33</v>
      </c>
      <c r="F50" s="25">
        <v>36</v>
      </c>
      <c r="G50" s="26">
        <v>45444</v>
      </c>
      <c r="H50" s="26">
        <v>45627</v>
      </c>
      <c r="I50" s="6" t="s">
        <v>14</v>
      </c>
      <c r="J50" s="6">
        <v>2024</v>
      </c>
    </row>
    <row r="51" spans="1:10" x14ac:dyDescent="0.3">
      <c r="A51" s="24" t="s">
        <v>137</v>
      </c>
      <c r="B51" s="24" t="s">
        <v>15</v>
      </c>
      <c r="C51" s="24" t="s">
        <v>16</v>
      </c>
      <c r="D51" s="24" t="s">
        <v>20</v>
      </c>
      <c r="E51" s="24">
        <v>0.54</v>
      </c>
      <c r="F51" s="25">
        <v>93</v>
      </c>
      <c r="G51" s="26">
        <v>45505</v>
      </c>
      <c r="H51" s="26">
        <v>45627</v>
      </c>
      <c r="I51" s="6" t="s">
        <v>14</v>
      </c>
      <c r="J51" s="6">
        <v>2024</v>
      </c>
    </row>
    <row r="52" spans="1:10" x14ac:dyDescent="0.3">
      <c r="A52" s="24" t="s">
        <v>140</v>
      </c>
      <c r="B52" s="24" t="s">
        <v>41</v>
      </c>
      <c r="C52" s="24" t="s">
        <v>25</v>
      </c>
      <c r="D52" s="24" t="s">
        <v>24</v>
      </c>
      <c r="E52" s="24">
        <v>0.91</v>
      </c>
      <c r="F52" s="25">
        <v>45</v>
      </c>
      <c r="G52" s="26">
        <v>45352</v>
      </c>
      <c r="H52" s="26">
        <v>45627</v>
      </c>
      <c r="I52" s="6" t="s">
        <v>27</v>
      </c>
      <c r="J52" s="6">
        <v>2024</v>
      </c>
    </row>
    <row r="53" spans="1:10" x14ac:dyDescent="0.3">
      <c r="A53" s="24" t="s">
        <v>142</v>
      </c>
      <c r="B53" s="24" t="s">
        <v>15</v>
      </c>
      <c r="C53" s="24" t="s">
        <v>23</v>
      </c>
      <c r="D53" s="24" t="s">
        <v>24</v>
      </c>
      <c r="E53" s="24">
        <v>0.24</v>
      </c>
      <c r="F53" s="25">
        <v>62</v>
      </c>
      <c r="G53" s="26">
        <v>45292</v>
      </c>
      <c r="H53" s="26">
        <v>45627</v>
      </c>
      <c r="I53" s="6" t="s">
        <v>14</v>
      </c>
      <c r="J53" s="6">
        <v>2024</v>
      </c>
    </row>
    <row r="54" spans="1:10" x14ac:dyDescent="0.3">
      <c r="A54" s="24" t="s">
        <v>66</v>
      </c>
      <c r="B54" s="24" t="s">
        <v>15</v>
      </c>
      <c r="C54" s="24" t="s">
        <v>47</v>
      </c>
      <c r="D54" s="24" t="s">
        <v>64</v>
      </c>
      <c r="E54" s="24">
        <v>0.16</v>
      </c>
      <c r="F54" s="25">
        <v>31</v>
      </c>
      <c r="G54" s="26">
        <v>45505</v>
      </c>
      <c r="H54" s="26">
        <v>45627</v>
      </c>
      <c r="I54" s="6" t="s">
        <v>14</v>
      </c>
      <c r="J54" s="6">
        <v>2024</v>
      </c>
    </row>
    <row r="55" spans="1:10" x14ac:dyDescent="0.3">
      <c r="A55" s="24" t="s">
        <v>69</v>
      </c>
      <c r="B55" s="24" t="s">
        <v>46</v>
      </c>
      <c r="C55" s="24" t="s">
        <v>39</v>
      </c>
      <c r="D55" s="24" t="s">
        <v>64</v>
      </c>
      <c r="E55" s="24">
        <v>0.59</v>
      </c>
      <c r="F55" s="25">
        <v>75</v>
      </c>
      <c r="G55" s="26">
        <v>45413</v>
      </c>
      <c r="H55" s="26">
        <v>45627</v>
      </c>
      <c r="I55" s="6" t="s">
        <v>27</v>
      </c>
      <c r="J55" s="6">
        <v>2024</v>
      </c>
    </row>
    <row r="56" spans="1:10" x14ac:dyDescent="0.3">
      <c r="A56" s="24" t="s">
        <v>148</v>
      </c>
      <c r="B56" s="24" t="s">
        <v>67</v>
      </c>
      <c r="C56" s="24" t="s">
        <v>39</v>
      </c>
      <c r="D56" s="24" t="s">
        <v>17</v>
      </c>
      <c r="E56" s="24">
        <v>0.27</v>
      </c>
      <c r="F56" s="25">
        <v>86</v>
      </c>
      <c r="G56" s="26">
        <v>45352</v>
      </c>
      <c r="H56" s="26">
        <v>45627</v>
      </c>
      <c r="I56" s="6" t="s">
        <v>14</v>
      </c>
      <c r="J56" s="6">
        <v>2024</v>
      </c>
    </row>
    <row r="57" spans="1:10" x14ac:dyDescent="0.3">
      <c r="A57" s="24" t="s">
        <v>70</v>
      </c>
      <c r="B57" s="24" t="s">
        <v>32</v>
      </c>
      <c r="C57" s="24" t="s">
        <v>39</v>
      </c>
      <c r="D57" s="24" t="s">
        <v>26</v>
      </c>
      <c r="E57" s="24">
        <v>0.25</v>
      </c>
      <c r="F57" s="25">
        <v>33</v>
      </c>
      <c r="G57" s="26">
        <v>45292</v>
      </c>
      <c r="H57" s="26">
        <v>45627</v>
      </c>
      <c r="I57" s="6" t="s">
        <v>14</v>
      </c>
      <c r="J57" s="6">
        <v>2024</v>
      </c>
    </row>
    <row r="58" spans="1:10" x14ac:dyDescent="0.3">
      <c r="A58" s="24" t="s">
        <v>62</v>
      </c>
      <c r="B58" s="24" t="s">
        <v>50</v>
      </c>
      <c r="C58" s="24" t="s">
        <v>29</v>
      </c>
      <c r="D58" s="24" t="s">
        <v>13</v>
      </c>
      <c r="E58" s="24">
        <v>0.25</v>
      </c>
      <c r="F58" s="25">
        <v>48</v>
      </c>
      <c r="G58" s="26">
        <v>45566</v>
      </c>
      <c r="H58" s="26">
        <v>45627</v>
      </c>
      <c r="I58" s="6" t="s">
        <v>14</v>
      </c>
      <c r="J58" s="6">
        <v>2024</v>
      </c>
    </row>
    <row r="59" spans="1:10" x14ac:dyDescent="0.3">
      <c r="A59" s="15" t="s">
        <v>76</v>
      </c>
      <c r="B59" s="15" t="s">
        <v>57</v>
      </c>
      <c r="C59" s="15" t="s">
        <v>44</v>
      </c>
      <c r="D59" s="15" t="s">
        <v>49</v>
      </c>
      <c r="E59" s="15">
        <v>0.37</v>
      </c>
      <c r="F59" s="16">
        <v>22</v>
      </c>
      <c r="G59" s="17">
        <v>45505</v>
      </c>
      <c r="H59" s="17">
        <v>45658</v>
      </c>
      <c r="I59" s="12" t="s">
        <v>73</v>
      </c>
      <c r="J59" s="12">
        <v>2025</v>
      </c>
    </row>
    <row r="60" spans="1:10" x14ac:dyDescent="0.3">
      <c r="A60" s="15" t="s">
        <v>80</v>
      </c>
      <c r="B60" s="15" t="s">
        <v>32</v>
      </c>
      <c r="C60" s="15" t="s">
        <v>44</v>
      </c>
      <c r="D60" s="15" t="s">
        <v>49</v>
      </c>
      <c r="E60" s="15">
        <v>0.13</v>
      </c>
      <c r="F60" s="16">
        <v>100</v>
      </c>
      <c r="G60" s="17">
        <v>45383</v>
      </c>
      <c r="H60" s="17">
        <v>45658</v>
      </c>
      <c r="I60" s="12" t="s">
        <v>14</v>
      </c>
      <c r="J60" s="12">
        <v>2025</v>
      </c>
    </row>
    <row r="61" spans="1:10" x14ac:dyDescent="0.3">
      <c r="A61" s="15" t="s">
        <v>165</v>
      </c>
      <c r="B61" s="15" t="s">
        <v>46</v>
      </c>
      <c r="C61" s="15" t="s">
        <v>23</v>
      </c>
      <c r="D61" s="15" t="s">
        <v>17</v>
      </c>
      <c r="E61" s="15">
        <v>0.53</v>
      </c>
      <c r="F61" s="16">
        <v>86</v>
      </c>
      <c r="G61" s="17">
        <v>45383</v>
      </c>
      <c r="H61" s="17">
        <v>45658</v>
      </c>
      <c r="I61" s="12" t="s">
        <v>14</v>
      </c>
      <c r="J61" s="12">
        <v>2025</v>
      </c>
    </row>
    <row r="62" spans="1:10" x14ac:dyDescent="0.3">
      <c r="A62" s="15" t="s">
        <v>164</v>
      </c>
      <c r="B62" s="15" t="s">
        <v>15</v>
      </c>
      <c r="C62" s="15" t="s">
        <v>29</v>
      </c>
      <c r="D62" s="15" t="s">
        <v>30</v>
      </c>
      <c r="E62" s="15">
        <v>0.17</v>
      </c>
      <c r="F62" s="16">
        <v>23</v>
      </c>
      <c r="G62" s="17">
        <v>45323</v>
      </c>
      <c r="H62" s="17">
        <v>45689</v>
      </c>
      <c r="I62" s="12" t="s">
        <v>73</v>
      </c>
      <c r="J62" s="12">
        <v>2025</v>
      </c>
    </row>
    <row r="63" spans="1:10" x14ac:dyDescent="0.3">
      <c r="A63" s="15" t="s">
        <v>159</v>
      </c>
      <c r="B63" s="15" t="s">
        <v>50</v>
      </c>
      <c r="C63" s="15" t="s">
        <v>39</v>
      </c>
      <c r="D63" s="15" t="s">
        <v>13</v>
      </c>
      <c r="E63" s="15">
        <v>0.55000000000000004</v>
      </c>
      <c r="F63" s="16">
        <v>29</v>
      </c>
      <c r="G63" s="17">
        <v>45505</v>
      </c>
      <c r="H63" s="17">
        <v>45717</v>
      </c>
      <c r="I63" s="12" t="s">
        <v>27</v>
      </c>
      <c r="J63" s="12">
        <v>2025</v>
      </c>
    </row>
    <row r="64" spans="1:10" x14ac:dyDescent="0.3">
      <c r="A64" s="18" t="s">
        <v>72</v>
      </c>
      <c r="B64" s="18" t="s">
        <v>40</v>
      </c>
      <c r="C64" s="18" t="s">
        <v>47</v>
      </c>
      <c r="D64" s="18" t="s">
        <v>26</v>
      </c>
      <c r="E64" s="18">
        <v>0.52</v>
      </c>
      <c r="F64" s="19">
        <v>52</v>
      </c>
      <c r="G64" s="20">
        <v>45627</v>
      </c>
      <c r="H64" s="20">
        <v>45809</v>
      </c>
      <c r="I64" s="12" t="s">
        <v>27</v>
      </c>
      <c r="J64" s="12">
        <v>2025</v>
      </c>
    </row>
    <row r="65" spans="1:10" x14ac:dyDescent="0.3">
      <c r="A65" s="18" t="s">
        <v>152</v>
      </c>
      <c r="B65" s="18" t="s">
        <v>46</v>
      </c>
      <c r="C65" s="18" t="s">
        <v>19</v>
      </c>
      <c r="D65" s="18" t="s">
        <v>34</v>
      </c>
      <c r="E65" s="18">
        <v>0.36</v>
      </c>
      <c r="F65" s="19">
        <v>50</v>
      </c>
      <c r="G65" s="20">
        <v>45536</v>
      </c>
      <c r="H65" s="20">
        <v>45839</v>
      </c>
      <c r="I65" s="12" t="s">
        <v>14</v>
      </c>
      <c r="J65" s="12">
        <v>2025</v>
      </c>
    </row>
    <row r="66" spans="1:10" x14ac:dyDescent="0.3">
      <c r="A66" s="18" t="s">
        <v>157</v>
      </c>
      <c r="B66" s="18" t="s">
        <v>41</v>
      </c>
      <c r="C66" s="18" t="s">
        <v>25</v>
      </c>
      <c r="D66" s="18" t="s">
        <v>60</v>
      </c>
      <c r="E66" s="18">
        <v>0.31</v>
      </c>
      <c r="F66" s="19">
        <v>56</v>
      </c>
      <c r="G66" s="20">
        <v>45536</v>
      </c>
      <c r="H66" s="20">
        <v>45839</v>
      </c>
      <c r="I66" s="12" t="s">
        <v>14</v>
      </c>
      <c r="J66" s="12">
        <v>2025</v>
      </c>
    </row>
    <row r="67" spans="1:10" x14ac:dyDescent="0.3">
      <c r="A67" s="18" t="s">
        <v>79</v>
      </c>
      <c r="B67" s="18" t="s">
        <v>11</v>
      </c>
      <c r="C67" s="18" t="s">
        <v>23</v>
      </c>
      <c r="D67" s="18" t="s">
        <v>60</v>
      </c>
      <c r="E67" s="18">
        <v>0.16</v>
      </c>
      <c r="F67" s="19">
        <v>35</v>
      </c>
      <c r="G67" s="20">
        <v>45597</v>
      </c>
      <c r="H67" s="20">
        <v>45839</v>
      </c>
      <c r="I67" s="12" t="s">
        <v>14</v>
      </c>
      <c r="J67" s="12">
        <v>2025</v>
      </c>
    </row>
    <row r="68" spans="1:10" x14ac:dyDescent="0.3">
      <c r="A68" s="21" t="s">
        <v>151</v>
      </c>
      <c r="B68" s="21" t="s">
        <v>53</v>
      </c>
      <c r="C68" s="21" t="s">
        <v>16</v>
      </c>
      <c r="D68" s="21" t="s">
        <v>26</v>
      </c>
      <c r="E68" s="21">
        <v>0.26</v>
      </c>
      <c r="F68" s="22">
        <v>100</v>
      </c>
      <c r="G68" s="23">
        <v>45627</v>
      </c>
      <c r="H68" s="23">
        <v>45870</v>
      </c>
      <c r="I68" s="12" t="s">
        <v>14</v>
      </c>
      <c r="J68" s="12">
        <v>2025</v>
      </c>
    </row>
    <row r="69" spans="1:10" x14ac:dyDescent="0.3">
      <c r="A69" s="21" t="s">
        <v>75</v>
      </c>
      <c r="B69" s="21" t="s">
        <v>46</v>
      </c>
      <c r="C69" s="21" t="s">
        <v>39</v>
      </c>
      <c r="D69" s="21" t="s">
        <v>26</v>
      </c>
      <c r="E69" s="21">
        <v>0.44</v>
      </c>
      <c r="F69" s="22">
        <v>89</v>
      </c>
      <c r="G69" s="23">
        <v>45627</v>
      </c>
      <c r="H69" s="23">
        <v>45870</v>
      </c>
      <c r="I69" s="12" t="s">
        <v>14</v>
      </c>
      <c r="J69" s="12">
        <v>2025</v>
      </c>
    </row>
    <row r="70" spans="1:10" x14ac:dyDescent="0.3">
      <c r="A70" s="21" t="s">
        <v>162</v>
      </c>
      <c r="B70" s="21" t="s">
        <v>78</v>
      </c>
      <c r="C70" s="21" t="s">
        <v>56</v>
      </c>
      <c r="D70" s="21" t="s">
        <v>60</v>
      </c>
      <c r="E70" s="21">
        <v>0.46</v>
      </c>
      <c r="F70" s="22">
        <v>23</v>
      </c>
      <c r="G70" s="23">
        <v>45566</v>
      </c>
      <c r="H70" s="23">
        <v>45870</v>
      </c>
      <c r="I70" s="12" t="s">
        <v>14</v>
      </c>
      <c r="J70" s="12">
        <v>2025</v>
      </c>
    </row>
    <row r="71" spans="1:10" x14ac:dyDescent="0.3">
      <c r="A71" s="21" t="s">
        <v>71</v>
      </c>
      <c r="B71" s="21" t="s">
        <v>51</v>
      </c>
      <c r="C71" s="21" t="s">
        <v>12</v>
      </c>
      <c r="D71" s="21" t="s">
        <v>30</v>
      </c>
      <c r="E71" s="21">
        <v>0.46</v>
      </c>
      <c r="F71" s="22">
        <v>56</v>
      </c>
      <c r="G71" s="23">
        <v>45566</v>
      </c>
      <c r="H71" s="23">
        <v>45901</v>
      </c>
      <c r="I71" s="12" t="s">
        <v>14</v>
      </c>
      <c r="J71" s="12">
        <v>2025</v>
      </c>
    </row>
    <row r="72" spans="1:10" x14ac:dyDescent="0.3">
      <c r="A72" s="21" t="s">
        <v>154</v>
      </c>
      <c r="B72" s="21" t="s">
        <v>15</v>
      </c>
      <c r="C72" s="21" t="s">
        <v>25</v>
      </c>
      <c r="D72" s="21" t="s">
        <v>49</v>
      </c>
      <c r="E72" s="21">
        <v>0.25</v>
      </c>
      <c r="F72" s="22">
        <v>62</v>
      </c>
      <c r="G72" s="23">
        <v>45627</v>
      </c>
      <c r="H72" s="23">
        <v>45901</v>
      </c>
      <c r="I72" s="12" t="s">
        <v>14</v>
      </c>
      <c r="J72" s="12">
        <v>2025</v>
      </c>
    </row>
    <row r="73" spans="1:10" x14ac:dyDescent="0.3">
      <c r="A73" s="21" t="s">
        <v>156</v>
      </c>
      <c r="B73" s="21" t="s">
        <v>28</v>
      </c>
      <c r="C73" s="21" t="s">
        <v>44</v>
      </c>
      <c r="D73" s="21" t="s">
        <v>24</v>
      </c>
      <c r="E73" s="21">
        <v>0.25</v>
      </c>
      <c r="F73" s="22">
        <v>49</v>
      </c>
      <c r="G73" s="23">
        <v>45627</v>
      </c>
      <c r="H73" s="23">
        <v>45901</v>
      </c>
      <c r="I73" s="12" t="s">
        <v>14</v>
      </c>
      <c r="J73" s="12">
        <v>2025</v>
      </c>
    </row>
    <row r="74" spans="1:10" x14ac:dyDescent="0.3">
      <c r="A74" s="21" t="s">
        <v>160</v>
      </c>
      <c r="B74" s="21" t="s">
        <v>11</v>
      </c>
      <c r="C74" s="21" t="s">
        <v>19</v>
      </c>
      <c r="D74" s="21" t="s">
        <v>64</v>
      </c>
      <c r="E74" s="21">
        <v>0.36</v>
      </c>
      <c r="F74" s="22">
        <v>74</v>
      </c>
      <c r="G74" s="23">
        <v>45383</v>
      </c>
      <c r="H74" s="23">
        <v>45901</v>
      </c>
      <c r="I74" s="12" t="s">
        <v>14</v>
      </c>
      <c r="J74" s="12">
        <v>2025</v>
      </c>
    </row>
    <row r="75" spans="1:10" x14ac:dyDescent="0.3">
      <c r="A75" s="21" t="s">
        <v>161</v>
      </c>
      <c r="B75" s="21" t="s">
        <v>28</v>
      </c>
      <c r="C75" s="21" t="s">
        <v>19</v>
      </c>
      <c r="D75" s="21" t="s">
        <v>30</v>
      </c>
      <c r="E75" s="21">
        <v>0.33</v>
      </c>
      <c r="F75" s="22">
        <v>77</v>
      </c>
      <c r="G75" s="23">
        <v>45627</v>
      </c>
      <c r="H75" s="23">
        <v>45901</v>
      </c>
      <c r="I75" s="12" t="s">
        <v>14</v>
      </c>
      <c r="J75" s="12">
        <v>2025</v>
      </c>
    </row>
    <row r="76" spans="1:10" x14ac:dyDescent="0.3">
      <c r="A76" s="21" t="s">
        <v>81</v>
      </c>
      <c r="B76" s="21" t="s">
        <v>18</v>
      </c>
      <c r="C76" s="21" t="s">
        <v>12</v>
      </c>
      <c r="D76" s="21" t="s">
        <v>82</v>
      </c>
      <c r="E76" s="21">
        <v>1.25</v>
      </c>
      <c r="F76" s="22">
        <v>85</v>
      </c>
      <c r="G76" s="23">
        <v>45658</v>
      </c>
      <c r="H76" s="23">
        <v>45901</v>
      </c>
      <c r="I76" s="12" t="s">
        <v>14</v>
      </c>
      <c r="J76" s="12">
        <v>2025</v>
      </c>
    </row>
    <row r="77" spans="1:10" x14ac:dyDescent="0.3">
      <c r="A77" s="24" t="s">
        <v>153</v>
      </c>
      <c r="B77" s="24" t="s">
        <v>57</v>
      </c>
      <c r="C77" s="24" t="s">
        <v>56</v>
      </c>
      <c r="D77" s="24" t="s">
        <v>24</v>
      </c>
      <c r="E77" s="24">
        <v>0.28000000000000003</v>
      </c>
      <c r="F77" s="25">
        <v>38</v>
      </c>
      <c r="G77" s="26">
        <v>45627</v>
      </c>
      <c r="H77" s="26">
        <v>45931</v>
      </c>
      <c r="I77" s="12" t="s">
        <v>73</v>
      </c>
      <c r="J77" s="12">
        <v>2025</v>
      </c>
    </row>
    <row r="78" spans="1:10" x14ac:dyDescent="0.3">
      <c r="A78" s="24" t="s">
        <v>83</v>
      </c>
      <c r="B78" s="24" t="s">
        <v>84</v>
      </c>
      <c r="C78" s="24" t="s">
        <v>16</v>
      </c>
      <c r="D78" s="24" t="s">
        <v>85</v>
      </c>
      <c r="E78" s="24">
        <v>1.1000000000000001</v>
      </c>
      <c r="F78" s="25">
        <v>77</v>
      </c>
      <c r="G78" s="26">
        <v>45689</v>
      </c>
      <c r="H78" s="26">
        <v>45931</v>
      </c>
      <c r="I78" s="12" t="s">
        <v>14</v>
      </c>
      <c r="J78" s="12">
        <v>2025</v>
      </c>
    </row>
    <row r="79" spans="1:10" x14ac:dyDescent="0.3">
      <c r="A79" s="24" t="s">
        <v>163</v>
      </c>
      <c r="B79" s="24" t="s">
        <v>55</v>
      </c>
      <c r="C79" s="24" t="s">
        <v>12</v>
      </c>
      <c r="D79" s="24" t="s">
        <v>49</v>
      </c>
      <c r="E79" s="24">
        <v>0.95</v>
      </c>
      <c r="F79" s="25">
        <v>69</v>
      </c>
      <c r="G79" s="26">
        <v>45627</v>
      </c>
      <c r="H79" s="26">
        <v>45962</v>
      </c>
      <c r="I79" s="12" t="s">
        <v>27</v>
      </c>
      <c r="J79" s="12">
        <v>2025</v>
      </c>
    </row>
    <row r="80" spans="1:10" x14ac:dyDescent="0.3">
      <c r="A80" s="24" t="s">
        <v>86</v>
      </c>
      <c r="B80" s="24" t="s">
        <v>57</v>
      </c>
      <c r="C80" s="24" t="s">
        <v>47</v>
      </c>
      <c r="D80" s="24" t="s">
        <v>87</v>
      </c>
      <c r="E80" s="24">
        <v>0.65</v>
      </c>
      <c r="F80" s="25">
        <v>59</v>
      </c>
      <c r="G80" s="26">
        <v>45717</v>
      </c>
      <c r="H80" s="26">
        <v>45962</v>
      </c>
      <c r="I80" s="12" t="s">
        <v>36</v>
      </c>
      <c r="J80" s="12">
        <v>2025</v>
      </c>
    </row>
    <row r="81" spans="1:10" x14ac:dyDescent="0.3">
      <c r="A81" s="24" t="s">
        <v>93</v>
      </c>
      <c r="B81" s="24" t="s">
        <v>94</v>
      </c>
      <c r="C81" s="24" t="s">
        <v>23</v>
      </c>
      <c r="D81" s="24" t="s">
        <v>95</v>
      </c>
      <c r="E81" s="24">
        <v>0.75</v>
      </c>
      <c r="F81" s="25">
        <v>64</v>
      </c>
      <c r="G81" s="26">
        <v>45809</v>
      </c>
      <c r="H81" s="26">
        <v>45962</v>
      </c>
      <c r="I81" s="12" t="s">
        <v>14</v>
      </c>
      <c r="J81" s="12">
        <v>2025</v>
      </c>
    </row>
    <row r="82" spans="1:10" x14ac:dyDescent="0.3">
      <c r="A82" s="24" t="s">
        <v>74</v>
      </c>
      <c r="B82" s="24" t="s">
        <v>32</v>
      </c>
      <c r="C82" s="24" t="s">
        <v>19</v>
      </c>
      <c r="D82" s="24" t="s">
        <v>26</v>
      </c>
      <c r="E82" s="24">
        <v>0.24</v>
      </c>
      <c r="F82" s="25">
        <v>32</v>
      </c>
      <c r="G82" s="26">
        <v>45536</v>
      </c>
      <c r="H82" s="26">
        <v>45992</v>
      </c>
      <c r="I82" s="12" t="s">
        <v>14</v>
      </c>
      <c r="J82" s="12">
        <v>2025</v>
      </c>
    </row>
    <row r="83" spans="1:10" x14ac:dyDescent="0.3">
      <c r="A83" s="24" t="s">
        <v>158</v>
      </c>
      <c r="B83" s="24" t="s">
        <v>40</v>
      </c>
      <c r="C83" s="24" t="s">
        <v>16</v>
      </c>
      <c r="D83" s="24" t="s">
        <v>26</v>
      </c>
      <c r="E83" s="24">
        <v>0.36</v>
      </c>
      <c r="F83" s="25">
        <v>80</v>
      </c>
      <c r="G83" s="26">
        <v>45352</v>
      </c>
      <c r="H83" s="26">
        <v>45992</v>
      </c>
      <c r="I83" s="12" t="s">
        <v>14</v>
      </c>
      <c r="J83" s="12">
        <v>2025</v>
      </c>
    </row>
    <row r="84" spans="1:10" x14ac:dyDescent="0.3">
      <c r="A84" s="24" t="s">
        <v>88</v>
      </c>
      <c r="B84" s="24" t="s">
        <v>89</v>
      </c>
      <c r="C84" s="24" t="s">
        <v>25</v>
      </c>
      <c r="D84" s="24" t="s">
        <v>90</v>
      </c>
      <c r="E84" s="24">
        <v>1.3</v>
      </c>
      <c r="F84" s="25">
        <v>71</v>
      </c>
      <c r="G84" s="26">
        <v>45748</v>
      </c>
      <c r="H84" s="26">
        <v>45992</v>
      </c>
      <c r="I84" s="12" t="s">
        <v>14</v>
      </c>
      <c r="J84" s="12">
        <v>2025</v>
      </c>
    </row>
    <row r="85" spans="1:10" x14ac:dyDescent="0.3">
      <c r="A85" s="24" t="s">
        <v>91</v>
      </c>
      <c r="B85" s="24" t="s">
        <v>35</v>
      </c>
      <c r="C85" s="24" t="s">
        <v>29</v>
      </c>
      <c r="D85" s="24" t="s">
        <v>92</v>
      </c>
      <c r="E85" s="24">
        <v>1.9</v>
      </c>
      <c r="F85" s="25">
        <v>100</v>
      </c>
      <c r="G85" s="26">
        <v>45778</v>
      </c>
      <c r="H85" s="26">
        <v>45992</v>
      </c>
      <c r="I85" s="12" t="s">
        <v>27</v>
      </c>
      <c r="J85" s="12">
        <v>2025</v>
      </c>
    </row>
    <row r="86" spans="1:10" x14ac:dyDescent="0.3">
      <c r="A86" s="24" t="s">
        <v>155</v>
      </c>
      <c r="B86" s="24" t="s">
        <v>50</v>
      </c>
      <c r="C86" s="24" t="s">
        <v>29</v>
      </c>
      <c r="D86" s="24" t="s">
        <v>34</v>
      </c>
      <c r="E86" s="24">
        <v>0.49</v>
      </c>
      <c r="F86" s="25">
        <v>90</v>
      </c>
      <c r="G86" s="26">
        <v>45627</v>
      </c>
      <c r="H86" s="26">
        <v>45992</v>
      </c>
      <c r="I86" s="12" t="s">
        <v>14</v>
      </c>
      <c r="J86" s="12">
        <v>2025</v>
      </c>
    </row>
    <row r="87" spans="1:10" x14ac:dyDescent="0.3">
      <c r="A87" s="15" t="s">
        <v>96</v>
      </c>
      <c r="B87" s="15" t="s">
        <v>22</v>
      </c>
      <c r="C87" s="15" t="s">
        <v>16</v>
      </c>
      <c r="D87" s="15" t="s">
        <v>97</v>
      </c>
      <c r="E87" s="15">
        <v>1.1499999999999999</v>
      </c>
      <c r="F87" s="16">
        <v>46</v>
      </c>
      <c r="G87" s="17">
        <v>45839</v>
      </c>
      <c r="H87" s="17">
        <v>46054</v>
      </c>
      <c r="I87" s="9" t="s">
        <v>14</v>
      </c>
      <c r="J87" s="9">
        <v>2026</v>
      </c>
    </row>
    <row r="88" spans="1:10" x14ac:dyDescent="0.3">
      <c r="A88" s="15" t="s">
        <v>98</v>
      </c>
      <c r="B88" s="15" t="s">
        <v>99</v>
      </c>
      <c r="C88" s="15" t="s">
        <v>100</v>
      </c>
      <c r="D88" s="15" t="s">
        <v>101</v>
      </c>
      <c r="E88" s="15">
        <v>0.55000000000000004</v>
      </c>
      <c r="F88" s="16">
        <v>23</v>
      </c>
      <c r="G88" s="17">
        <v>45870</v>
      </c>
      <c r="H88" s="17">
        <v>46082</v>
      </c>
      <c r="I88" s="9" t="s">
        <v>14</v>
      </c>
      <c r="J88" s="9">
        <v>2026</v>
      </c>
    </row>
    <row r="89" spans="1:10" x14ac:dyDescent="0.3">
      <c r="A89" s="15" t="s">
        <v>166</v>
      </c>
      <c r="B89" s="15" t="s">
        <v>35</v>
      </c>
      <c r="C89" s="15" t="s">
        <v>44</v>
      </c>
      <c r="D89" s="15" t="s">
        <v>20</v>
      </c>
      <c r="E89" s="15">
        <v>0.28000000000000003</v>
      </c>
      <c r="F89" s="16">
        <v>62</v>
      </c>
      <c r="G89" s="17">
        <v>45505</v>
      </c>
      <c r="H89" s="17">
        <v>46082</v>
      </c>
      <c r="I89" s="9" t="s">
        <v>14</v>
      </c>
      <c r="J89" s="9">
        <v>2026</v>
      </c>
    </row>
    <row r="90" spans="1:10" x14ac:dyDescent="0.3">
      <c r="A90" s="18" t="s">
        <v>110</v>
      </c>
      <c r="B90" s="18" t="s">
        <v>46</v>
      </c>
      <c r="C90" s="18" t="s">
        <v>111</v>
      </c>
      <c r="D90" s="18" t="s">
        <v>112</v>
      </c>
      <c r="E90" s="18">
        <v>0.6</v>
      </c>
      <c r="F90" s="19">
        <v>36</v>
      </c>
      <c r="G90" s="20">
        <v>45901</v>
      </c>
      <c r="H90" s="20">
        <v>46113</v>
      </c>
      <c r="I90" s="9" t="s">
        <v>14</v>
      </c>
      <c r="J90" s="9">
        <v>2026</v>
      </c>
    </row>
    <row r="91" spans="1:10" x14ac:dyDescent="0.3">
      <c r="A91" s="18" t="s">
        <v>77</v>
      </c>
      <c r="B91" s="18" t="s">
        <v>28</v>
      </c>
      <c r="C91" s="18" t="s">
        <v>56</v>
      </c>
      <c r="D91" s="18" t="s">
        <v>34</v>
      </c>
      <c r="E91" s="18">
        <v>0.31</v>
      </c>
      <c r="F91" s="19">
        <v>51</v>
      </c>
      <c r="G91" s="20">
        <v>45597</v>
      </c>
      <c r="H91" s="20">
        <v>46113</v>
      </c>
      <c r="I91" s="9" t="s">
        <v>14</v>
      </c>
      <c r="J91" s="9">
        <v>2026</v>
      </c>
    </row>
    <row r="92" spans="1:10" x14ac:dyDescent="0.3">
      <c r="A92" s="18" t="s">
        <v>102</v>
      </c>
      <c r="B92" s="18" t="s">
        <v>15</v>
      </c>
      <c r="C92" s="18" t="s">
        <v>19</v>
      </c>
      <c r="D92" s="18" t="s">
        <v>103</v>
      </c>
      <c r="E92" s="18">
        <v>1</v>
      </c>
      <c r="F92" s="19">
        <v>72</v>
      </c>
      <c r="G92" s="20">
        <v>45901</v>
      </c>
      <c r="H92" s="20">
        <v>46143</v>
      </c>
      <c r="I92" s="9" t="s">
        <v>14</v>
      </c>
      <c r="J92" s="9">
        <v>2026</v>
      </c>
    </row>
    <row r="93" spans="1:10" x14ac:dyDescent="0.3">
      <c r="A93" s="18" t="s">
        <v>107</v>
      </c>
      <c r="B93" s="18" t="s">
        <v>43</v>
      </c>
      <c r="C93" s="18" t="s">
        <v>108</v>
      </c>
      <c r="D93" s="18" t="s">
        <v>109</v>
      </c>
      <c r="E93" s="18">
        <v>1.05</v>
      </c>
      <c r="F93" s="19">
        <v>65</v>
      </c>
      <c r="G93" s="20">
        <v>45901</v>
      </c>
      <c r="H93" s="20">
        <v>46143</v>
      </c>
      <c r="I93" s="9" t="s">
        <v>14</v>
      </c>
      <c r="J93" s="9">
        <v>2026</v>
      </c>
    </row>
    <row r="94" spans="1:10" x14ac:dyDescent="0.3">
      <c r="A94" s="18" t="s">
        <v>104</v>
      </c>
      <c r="B94" s="18" t="s">
        <v>105</v>
      </c>
      <c r="C94" s="18" t="s">
        <v>25</v>
      </c>
      <c r="D94" s="18" t="s">
        <v>106</v>
      </c>
      <c r="E94" s="18">
        <v>1.1000000000000001</v>
      </c>
      <c r="F94" s="19">
        <v>60</v>
      </c>
      <c r="G94" s="20">
        <v>45901</v>
      </c>
      <c r="H94" s="20">
        <v>46174</v>
      </c>
      <c r="I94" s="9" t="s">
        <v>14</v>
      </c>
      <c r="J94" s="9">
        <v>2026</v>
      </c>
    </row>
  </sheetData>
  <mergeCells count="4">
    <mergeCell ref="L2:M2"/>
    <mergeCell ref="L3:M3"/>
    <mergeCell ref="L4:M4"/>
    <mergeCell ref="L5:M5"/>
  </mergeCells>
  <phoneticPr fontId="3" type="noConversion"/>
  <conditionalFormatting sqref="K1:K1048576">
    <cfRule type="cellIs" dxfId="39" priority="1" operator="lessThan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0D09C-37ED-4D77-93B4-CF2C88195BCA}">
  <dimension ref="A1:K16"/>
  <sheetViews>
    <sheetView tabSelected="1" zoomScale="130" zoomScaleNormal="130" workbookViewId="0">
      <pane xSplit="4" ySplit="1" topLeftCell="H2" activePane="bottomRight" state="frozen"/>
      <selection pane="topRight" activeCell="E1" sqref="E1"/>
      <selection pane="bottomLeft" activeCell="A2" sqref="A2"/>
      <selection pane="bottomRight" activeCell="D2" sqref="D2"/>
    </sheetView>
  </sheetViews>
  <sheetFormatPr defaultRowHeight="14.4" x14ac:dyDescent="0.3"/>
  <cols>
    <col min="1" max="1" width="9.88671875" bestFit="1" customWidth="1"/>
    <col min="2" max="2" width="25.6640625" bestFit="1" customWidth="1"/>
    <col min="3" max="3" width="24.44140625" bestFit="1" customWidth="1"/>
    <col min="4" max="4" width="30.6640625" customWidth="1"/>
    <col min="5" max="5" width="16.6640625" customWidth="1"/>
    <col min="6" max="6" width="23.5546875" bestFit="1" customWidth="1"/>
    <col min="7" max="7" width="20.77734375" bestFit="1" customWidth="1"/>
    <col min="8" max="8" width="18.44140625" bestFit="1" customWidth="1"/>
    <col min="9" max="9" width="20.21875" bestFit="1" customWidth="1"/>
    <col min="10" max="10" width="12.77734375" bestFit="1" customWidth="1"/>
    <col min="11" max="11" width="4.777343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38" t="s">
        <v>222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 s="2" t="s">
        <v>216</v>
      </c>
      <c r="B2" s="37" t="s">
        <v>215</v>
      </c>
      <c r="C2" s="2" t="s">
        <v>19</v>
      </c>
      <c r="D2" s="2" t="s">
        <v>193</v>
      </c>
      <c r="E2" s="35">
        <v>700</v>
      </c>
      <c r="F2" s="36">
        <v>0.53846153846153855</v>
      </c>
      <c r="G2" s="35">
        <v>100</v>
      </c>
      <c r="H2" s="34">
        <v>45962</v>
      </c>
      <c r="I2" s="34">
        <v>46113</v>
      </c>
      <c r="J2" s="2" t="s">
        <v>192</v>
      </c>
      <c r="K2" s="2">
        <v>2026</v>
      </c>
    </row>
    <row r="3" spans="1:11" x14ac:dyDescent="0.3">
      <c r="A3" s="2" t="s">
        <v>208</v>
      </c>
      <c r="B3" s="37" t="s">
        <v>207</v>
      </c>
      <c r="C3" s="2" t="s">
        <v>19</v>
      </c>
      <c r="D3" s="2" t="s">
        <v>193</v>
      </c>
      <c r="E3" s="35">
        <v>14</v>
      </c>
      <c r="F3" s="36">
        <v>1.0769230769230771E-2</v>
      </c>
      <c r="G3" s="35">
        <v>100</v>
      </c>
      <c r="H3" s="34">
        <v>45962</v>
      </c>
      <c r="I3" s="34">
        <v>46143</v>
      </c>
      <c r="J3" s="2" t="s">
        <v>192</v>
      </c>
      <c r="K3" s="2">
        <v>2026</v>
      </c>
    </row>
    <row r="4" spans="1:11" x14ac:dyDescent="0.3">
      <c r="A4" s="2" t="s">
        <v>195</v>
      </c>
      <c r="B4" s="37" t="s">
        <v>194</v>
      </c>
      <c r="C4" s="2" t="s">
        <v>19</v>
      </c>
      <c r="D4" s="2" t="s">
        <v>193</v>
      </c>
      <c r="E4" s="35">
        <v>70</v>
      </c>
      <c r="F4" s="36">
        <v>5.3846153846153856E-2</v>
      </c>
      <c r="G4" s="35">
        <v>100</v>
      </c>
      <c r="H4" s="34">
        <v>45962</v>
      </c>
      <c r="I4" s="34">
        <v>46143</v>
      </c>
      <c r="J4" s="2" t="s">
        <v>192</v>
      </c>
      <c r="K4" s="2">
        <v>2026</v>
      </c>
    </row>
    <row r="5" spans="1:11" x14ac:dyDescent="0.3">
      <c r="A5" s="2" t="s">
        <v>219</v>
      </c>
      <c r="B5" s="37" t="s">
        <v>217</v>
      </c>
      <c r="C5" s="2" t="s">
        <v>29</v>
      </c>
      <c r="D5" s="2" t="s">
        <v>202</v>
      </c>
      <c r="E5" s="35">
        <v>30</v>
      </c>
      <c r="F5" s="36">
        <v>6.9230769230769235E-2</v>
      </c>
      <c r="G5" s="35">
        <v>100</v>
      </c>
      <c r="H5" s="34">
        <v>45962</v>
      </c>
      <c r="I5" s="34">
        <v>46082</v>
      </c>
      <c r="J5" s="2" t="s">
        <v>14</v>
      </c>
      <c r="K5" s="2">
        <v>2026</v>
      </c>
    </row>
    <row r="6" spans="1:11" x14ac:dyDescent="0.3">
      <c r="A6" s="2" t="s">
        <v>204</v>
      </c>
      <c r="B6" s="37" t="s">
        <v>203</v>
      </c>
      <c r="C6" s="2" t="s">
        <v>29</v>
      </c>
      <c r="D6" s="2" t="s">
        <v>202</v>
      </c>
      <c r="E6" s="35">
        <v>300</v>
      </c>
      <c r="F6" s="36">
        <v>0.69230769230769229</v>
      </c>
      <c r="G6" s="35">
        <v>100</v>
      </c>
      <c r="H6" s="34">
        <v>45962</v>
      </c>
      <c r="I6" s="34">
        <v>46113</v>
      </c>
      <c r="J6" s="2" t="s">
        <v>192</v>
      </c>
      <c r="K6" s="2">
        <v>2026</v>
      </c>
    </row>
    <row r="7" spans="1:11" x14ac:dyDescent="0.3">
      <c r="A7" s="2" t="s">
        <v>206</v>
      </c>
      <c r="B7" s="37" t="s">
        <v>205</v>
      </c>
      <c r="C7" s="2" t="s">
        <v>197</v>
      </c>
      <c r="D7" s="2" t="s">
        <v>196</v>
      </c>
      <c r="E7" s="35">
        <v>70</v>
      </c>
      <c r="F7" s="36">
        <v>0.31538461538461537</v>
      </c>
      <c r="G7" s="35">
        <v>100</v>
      </c>
      <c r="H7" s="34">
        <v>45962</v>
      </c>
      <c r="I7" s="34">
        <v>46082</v>
      </c>
      <c r="J7" s="2" t="s">
        <v>192</v>
      </c>
      <c r="K7" s="2">
        <v>2026</v>
      </c>
    </row>
    <row r="8" spans="1:11" x14ac:dyDescent="0.3">
      <c r="A8" s="2" t="s">
        <v>198</v>
      </c>
      <c r="B8" s="37" t="s">
        <v>194</v>
      </c>
      <c r="C8" s="2" t="s">
        <v>197</v>
      </c>
      <c r="D8" s="2" t="s">
        <v>196</v>
      </c>
      <c r="E8" s="35">
        <v>210</v>
      </c>
      <c r="F8" s="36">
        <v>0.94615384615384612</v>
      </c>
      <c r="G8" s="35">
        <v>100</v>
      </c>
      <c r="H8" s="34">
        <v>45962</v>
      </c>
      <c r="I8" s="34">
        <v>46143</v>
      </c>
      <c r="J8" s="2" t="s">
        <v>192</v>
      </c>
      <c r="K8" s="2">
        <v>2026</v>
      </c>
    </row>
    <row r="9" spans="1:11" x14ac:dyDescent="0.3">
      <c r="A9" s="2" t="s">
        <v>218</v>
      </c>
      <c r="B9" s="37" t="s">
        <v>217</v>
      </c>
      <c r="C9" s="2" t="s">
        <v>23</v>
      </c>
      <c r="D9" s="2" t="s">
        <v>199</v>
      </c>
      <c r="E9" s="35">
        <v>30</v>
      </c>
      <c r="F9" s="36">
        <v>3.4265734265734267E-2</v>
      </c>
      <c r="G9" s="35">
        <v>100</v>
      </c>
      <c r="H9" s="34">
        <v>45962</v>
      </c>
      <c r="I9" s="34">
        <v>46082</v>
      </c>
      <c r="J9" s="2" t="s">
        <v>14</v>
      </c>
      <c r="K9" s="2">
        <v>2026</v>
      </c>
    </row>
    <row r="10" spans="1:11" x14ac:dyDescent="0.3">
      <c r="A10" s="2" t="s">
        <v>209</v>
      </c>
      <c r="B10" s="143" t="s">
        <v>207</v>
      </c>
      <c r="C10" s="2" t="s">
        <v>200</v>
      </c>
      <c r="D10" s="2" t="s">
        <v>199</v>
      </c>
      <c r="E10" s="35">
        <v>141</v>
      </c>
      <c r="F10" s="36">
        <v>0.15076923076923077</v>
      </c>
      <c r="G10" s="35">
        <v>100</v>
      </c>
      <c r="H10" s="34">
        <v>45962</v>
      </c>
      <c r="I10" s="34">
        <v>46143</v>
      </c>
      <c r="J10" s="2" t="s">
        <v>14</v>
      </c>
      <c r="K10" s="2">
        <v>2026</v>
      </c>
    </row>
    <row r="11" spans="1:11" x14ac:dyDescent="0.3">
      <c r="A11" s="2" t="s">
        <v>201</v>
      </c>
      <c r="B11" s="143" t="s">
        <v>194</v>
      </c>
      <c r="C11" s="2" t="s">
        <v>200</v>
      </c>
      <c r="D11" s="2" t="s">
        <v>199</v>
      </c>
      <c r="E11" s="35">
        <v>700</v>
      </c>
      <c r="F11" s="36">
        <v>0.75384615384615383</v>
      </c>
      <c r="G11" s="35">
        <v>100</v>
      </c>
      <c r="H11" s="34">
        <v>45962</v>
      </c>
      <c r="I11" s="34">
        <v>46143</v>
      </c>
      <c r="J11" s="2" t="s">
        <v>192</v>
      </c>
      <c r="K11" s="2">
        <v>2026</v>
      </c>
    </row>
    <row r="12" spans="1:11" x14ac:dyDescent="0.3">
      <c r="A12" s="2" t="s">
        <v>214</v>
      </c>
      <c r="B12" s="37" t="s">
        <v>213</v>
      </c>
      <c r="C12" s="2" t="s">
        <v>19</v>
      </c>
      <c r="D12" s="2" t="s">
        <v>212</v>
      </c>
      <c r="E12" s="35">
        <v>1</v>
      </c>
      <c r="F12" s="36">
        <v>0.34615384615384615</v>
      </c>
      <c r="G12" s="35">
        <v>100</v>
      </c>
      <c r="H12" s="34">
        <v>45962</v>
      </c>
      <c r="I12" s="34">
        <v>46174</v>
      </c>
      <c r="J12" s="2" t="s">
        <v>14</v>
      </c>
      <c r="K12" s="2">
        <v>2026</v>
      </c>
    </row>
    <row r="13" spans="1:11" x14ac:dyDescent="0.3">
      <c r="A13" s="2" t="s">
        <v>211</v>
      </c>
      <c r="B13" s="37" t="s">
        <v>207</v>
      </c>
      <c r="C13" s="2" t="s">
        <v>200</v>
      </c>
      <c r="D13" s="2" t="s">
        <v>210</v>
      </c>
      <c r="E13" s="35">
        <f>47*3</f>
        <v>141</v>
      </c>
      <c r="F13" s="36">
        <v>0.26923076923076922</v>
      </c>
      <c r="G13" s="35">
        <v>100</v>
      </c>
      <c r="H13" s="34">
        <v>45962</v>
      </c>
      <c r="I13" s="34">
        <v>46143</v>
      </c>
      <c r="J13" s="2" t="s">
        <v>14</v>
      </c>
      <c r="K13" s="2">
        <v>2026</v>
      </c>
    </row>
    <row r="14" spans="1:11" x14ac:dyDescent="0.3">
      <c r="A14" s="2" t="s">
        <v>221</v>
      </c>
      <c r="B14" s="37" t="s">
        <v>217</v>
      </c>
      <c r="C14" s="2" t="s">
        <v>23</v>
      </c>
      <c r="D14" s="2" t="s">
        <v>220</v>
      </c>
      <c r="E14" s="35">
        <v>30</v>
      </c>
      <c r="F14" s="36">
        <v>0.46153846153846156</v>
      </c>
      <c r="G14" s="35">
        <v>100</v>
      </c>
      <c r="H14" s="34">
        <v>45962</v>
      </c>
      <c r="I14" s="34">
        <v>46082</v>
      </c>
      <c r="J14" s="2" t="s">
        <v>14</v>
      </c>
      <c r="K14" s="2">
        <v>2026</v>
      </c>
    </row>
    <row r="16" spans="1:11" x14ac:dyDescent="0.3">
      <c r="E16" s="33"/>
    </row>
  </sheetData>
  <sortState xmlns:xlrd2="http://schemas.microsoft.com/office/spreadsheetml/2017/richdata2" ref="A2:K14">
    <sortCondition ref="D2:D14"/>
  </sortState>
  <conditionalFormatting sqref="L1:L14">
    <cfRule type="cellIs" dxfId="38" priority="1" operator="less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ABC15-5F28-435E-84B2-F727880598E0}">
  <dimension ref="A1:N105"/>
  <sheetViews>
    <sheetView zoomScale="70" zoomScaleNormal="70" workbookViewId="0">
      <pane xSplit="1" ySplit="3" topLeftCell="D16" activePane="bottomRight" state="frozen"/>
      <selection pane="topRight" activeCell="B1" sqref="B1"/>
      <selection pane="bottomLeft" activeCell="A5" sqref="A5"/>
      <selection pane="bottomRight" activeCell="M25" sqref="M25"/>
    </sheetView>
  </sheetViews>
  <sheetFormatPr defaultColWidth="8.77734375" defaultRowHeight="15.6" x14ac:dyDescent="0.3"/>
  <cols>
    <col min="1" max="1" width="26" style="41" customWidth="1"/>
    <col min="2" max="2" width="77.77734375" customWidth="1"/>
    <col min="3" max="4" width="26.77734375" customWidth="1"/>
    <col min="5" max="5" width="19.109375" style="40" customWidth="1"/>
    <col min="6" max="6" width="12.44140625" style="40" customWidth="1"/>
    <col min="7" max="7" width="15.21875" style="40" customWidth="1"/>
    <col min="8" max="10" width="12.44140625" style="40" customWidth="1"/>
    <col min="11" max="11" width="16.5546875" style="40" customWidth="1"/>
    <col min="12" max="12" width="12.44140625" customWidth="1"/>
    <col min="13" max="13" width="65.109375" bestFit="1" customWidth="1"/>
    <col min="14" max="14" width="36.44140625" style="39" customWidth="1"/>
  </cols>
  <sheetData>
    <row r="1" spans="1:14" ht="44.25" customHeight="1" x14ac:dyDescent="0.3">
      <c r="A1" s="54"/>
      <c r="B1" s="152" t="s">
        <v>365</v>
      </c>
      <c r="C1" s="152" t="s">
        <v>364</v>
      </c>
      <c r="D1" s="152" t="s">
        <v>363</v>
      </c>
      <c r="E1" s="57" t="s">
        <v>362</v>
      </c>
      <c r="F1" s="57" t="s">
        <v>361</v>
      </c>
      <c r="G1" s="57" t="s">
        <v>360</v>
      </c>
      <c r="H1" s="57" t="s">
        <v>359</v>
      </c>
      <c r="I1" s="57" t="s">
        <v>358</v>
      </c>
      <c r="J1" s="57" t="s">
        <v>357</v>
      </c>
      <c r="K1" s="57" t="s">
        <v>356</v>
      </c>
      <c r="L1" s="57" t="s">
        <v>355</v>
      </c>
      <c r="M1" s="57"/>
      <c r="N1" s="56" t="s">
        <v>354</v>
      </c>
    </row>
    <row r="2" spans="1:14" ht="107.25" customHeight="1" x14ac:dyDescent="0.3">
      <c r="A2" s="55" t="s">
        <v>353</v>
      </c>
      <c r="B2" s="152"/>
      <c r="C2" s="152"/>
      <c r="D2" s="152"/>
      <c r="E2" s="52">
        <v>1</v>
      </c>
      <c r="F2" s="52">
        <v>1</v>
      </c>
      <c r="G2" s="52">
        <v>1</v>
      </c>
      <c r="H2" s="52">
        <v>1</v>
      </c>
      <c r="I2" s="53">
        <v>1</v>
      </c>
      <c r="J2" s="52">
        <v>1</v>
      </c>
      <c r="K2" s="53">
        <v>1</v>
      </c>
      <c r="L2" s="52">
        <f t="shared" ref="L2:L33" si="0">SUM(E2:K2)</f>
        <v>7</v>
      </c>
      <c r="M2" s="52" t="s">
        <v>352</v>
      </c>
    </row>
    <row r="3" spans="1:14" ht="69" customHeight="1" x14ac:dyDescent="0.3">
      <c r="A3" s="47" t="s">
        <v>231</v>
      </c>
      <c r="B3" s="46" t="s">
        <v>351</v>
      </c>
      <c r="C3" s="42" t="s">
        <v>350</v>
      </c>
      <c r="D3" s="51"/>
      <c r="E3" s="43">
        <v>0</v>
      </c>
      <c r="F3" s="43">
        <v>0.2</v>
      </c>
      <c r="G3" s="44">
        <v>0</v>
      </c>
      <c r="H3" s="43">
        <v>0</v>
      </c>
      <c r="I3" s="43">
        <v>0</v>
      </c>
      <c r="J3" s="43">
        <v>0</v>
      </c>
      <c r="K3" s="43">
        <v>0</v>
      </c>
      <c r="L3" s="42">
        <f t="shared" si="0"/>
        <v>0.2</v>
      </c>
      <c r="M3" s="42"/>
    </row>
    <row r="4" spans="1:14" ht="64.5" customHeight="1" x14ac:dyDescent="0.3">
      <c r="A4" s="47" t="s">
        <v>231</v>
      </c>
      <c r="B4" s="46" t="s">
        <v>349</v>
      </c>
      <c r="C4" s="42" t="s">
        <v>240</v>
      </c>
      <c r="D4" s="42"/>
      <c r="E4" s="43">
        <v>31.164999999999999</v>
      </c>
      <c r="F4" s="43">
        <v>0</v>
      </c>
      <c r="G4" s="44">
        <v>0</v>
      </c>
      <c r="H4" s="43">
        <v>0</v>
      </c>
      <c r="I4" s="43">
        <v>0</v>
      </c>
      <c r="J4" s="43">
        <v>0</v>
      </c>
      <c r="K4" s="43">
        <v>0</v>
      </c>
      <c r="L4" s="42">
        <f t="shared" si="0"/>
        <v>31.164999999999999</v>
      </c>
      <c r="M4" s="42"/>
    </row>
    <row r="5" spans="1:14" ht="42.75" customHeight="1" x14ac:dyDescent="0.3">
      <c r="A5" s="47" t="s">
        <v>231</v>
      </c>
      <c r="B5" s="46" t="s">
        <v>348</v>
      </c>
      <c r="C5" s="42" t="s">
        <v>240</v>
      </c>
      <c r="D5" s="42"/>
      <c r="E5" s="43">
        <v>0</v>
      </c>
      <c r="F5" s="43">
        <v>0</v>
      </c>
      <c r="G5" s="44">
        <v>0</v>
      </c>
      <c r="H5" s="43">
        <v>0</v>
      </c>
      <c r="I5" s="43">
        <v>5.92</v>
      </c>
      <c r="J5" s="43">
        <v>0</v>
      </c>
      <c r="K5" s="43">
        <v>0</v>
      </c>
      <c r="L5" s="42">
        <f t="shared" si="0"/>
        <v>5.92</v>
      </c>
      <c r="M5" s="42"/>
    </row>
    <row r="6" spans="1:14" ht="42.75" customHeight="1" x14ac:dyDescent="0.3">
      <c r="A6" s="47" t="s">
        <v>231</v>
      </c>
      <c r="B6" s="46" t="s">
        <v>347</v>
      </c>
      <c r="C6" s="42" t="s">
        <v>240</v>
      </c>
      <c r="D6" s="42"/>
      <c r="E6" s="43">
        <v>11.14</v>
      </c>
      <c r="F6" s="43">
        <v>5.6599999999999993</v>
      </c>
      <c r="G6" s="44">
        <v>100.80000000000001</v>
      </c>
      <c r="H6" s="43">
        <v>4.4800000000000004</v>
      </c>
      <c r="I6" s="43">
        <v>0</v>
      </c>
      <c r="J6" s="43">
        <v>0</v>
      </c>
      <c r="K6" s="43">
        <v>0</v>
      </c>
      <c r="L6" s="42">
        <f t="shared" si="0"/>
        <v>122.08000000000001</v>
      </c>
      <c r="M6" s="42"/>
    </row>
    <row r="7" spans="1:14" ht="42.75" customHeight="1" x14ac:dyDescent="0.3">
      <c r="A7" s="47" t="s">
        <v>231</v>
      </c>
      <c r="B7" s="46" t="s">
        <v>346</v>
      </c>
      <c r="C7" s="42" t="s">
        <v>240</v>
      </c>
      <c r="D7" s="49"/>
      <c r="E7" s="43">
        <v>0</v>
      </c>
      <c r="F7" s="43">
        <v>4.3</v>
      </c>
      <c r="G7" s="44">
        <v>77.400000000000006</v>
      </c>
      <c r="H7" s="43">
        <v>3.44</v>
      </c>
      <c r="I7" s="43">
        <v>0</v>
      </c>
      <c r="J7" s="43">
        <v>0</v>
      </c>
      <c r="K7" s="43">
        <v>0</v>
      </c>
      <c r="L7" s="42">
        <f t="shared" si="0"/>
        <v>85.14</v>
      </c>
      <c r="M7" s="42"/>
    </row>
    <row r="8" spans="1:14" ht="42.75" customHeight="1" x14ac:dyDescent="0.3">
      <c r="A8" s="47" t="s">
        <v>231</v>
      </c>
      <c r="B8" s="46" t="s">
        <v>345</v>
      </c>
      <c r="C8" s="42" t="s">
        <v>240</v>
      </c>
      <c r="D8" s="42"/>
      <c r="E8" s="43">
        <v>0</v>
      </c>
      <c r="F8" s="43">
        <v>13.049999999999999</v>
      </c>
      <c r="G8" s="44">
        <v>235.08</v>
      </c>
      <c r="H8" s="43">
        <v>10.448</v>
      </c>
      <c r="I8" s="43">
        <v>0</v>
      </c>
      <c r="J8" s="43">
        <v>0</v>
      </c>
      <c r="K8" s="43">
        <v>0</v>
      </c>
      <c r="L8" s="42">
        <f t="shared" si="0"/>
        <v>258.57800000000003</v>
      </c>
      <c r="M8" s="42"/>
    </row>
    <row r="9" spans="1:14" ht="42.75" customHeight="1" x14ac:dyDescent="0.3">
      <c r="A9" s="47" t="s">
        <v>231</v>
      </c>
      <c r="B9" s="46" t="s">
        <v>344</v>
      </c>
      <c r="C9" s="42" t="s">
        <v>240</v>
      </c>
      <c r="D9" s="49"/>
      <c r="E9" s="43">
        <v>0</v>
      </c>
      <c r="F9" s="43">
        <v>8.1999999999999993</v>
      </c>
      <c r="G9" s="44">
        <v>147.6</v>
      </c>
      <c r="H9" s="43">
        <v>6.56</v>
      </c>
      <c r="I9" s="43">
        <v>0</v>
      </c>
      <c r="J9" s="43">
        <v>0</v>
      </c>
      <c r="K9" s="43">
        <v>0</v>
      </c>
      <c r="L9" s="42">
        <f t="shared" si="0"/>
        <v>162.35999999999999</v>
      </c>
      <c r="M9" s="42"/>
    </row>
    <row r="10" spans="1:14" ht="42.75" customHeight="1" x14ac:dyDescent="0.3">
      <c r="A10" s="47" t="s">
        <v>343</v>
      </c>
      <c r="B10" s="46" t="s">
        <v>342</v>
      </c>
      <c r="C10" s="42" t="s">
        <v>240</v>
      </c>
      <c r="D10" s="45" t="s">
        <v>307</v>
      </c>
      <c r="E10" s="43">
        <v>0.55000000000000004</v>
      </c>
      <c r="F10" s="43">
        <v>0</v>
      </c>
      <c r="G10" s="44">
        <v>0</v>
      </c>
      <c r="H10" s="43">
        <v>0</v>
      </c>
      <c r="I10" s="43">
        <v>0</v>
      </c>
      <c r="J10" s="43">
        <v>0</v>
      </c>
      <c r="K10" s="43">
        <v>0</v>
      </c>
      <c r="L10" s="42">
        <f t="shared" si="0"/>
        <v>0.55000000000000004</v>
      </c>
      <c r="M10" s="42"/>
    </row>
    <row r="11" spans="1:14" ht="42.75" customHeight="1" x14ac:dyDescent="0.3">
      <c r="A11" s="47" t="s">
        <v>339</v>
      </c>
      <c r="B11" s="46" t="s">
        <v>341</v>
      </c>
      <c r="C11" s="42" t="s">
        <v>240</v>
      </c>
      <c r="D11" s="48" t="s">
        <v>250</v>
      </c>
      <c r="E11" s="43">
        <v>0</v>
      </c>
      <c r="F11" s="43">
        <v>2.4</v>
      </c>
      <c r="G11" s="44">
        <v>43.199999999999996</v>
      </c>
      <c r="H11" s="43">
        <v>1.92</v>
      </c>
      <c r="I11" s="43">
        <v>0</v>
      </c>
      <c r="J11" s="43">
        <v>0</v>
      </c>
      <c r="K11" s="43">
        <v>0</v>
      </c>
      <c r="L11" s="42">
        <f t="shared" si="0"/>
        <v>47.519999999999996</v>
      </c>
      <c r="M11" s="42"/>
    </row>
    <row r="12" spans="1:14" ht="42.75" customHeight="1" x14ac:dyDescent="0.3">
      <c r="A12" s="47" t="s">
        <v>231</v>
      </c>
      <c r="B12" s="46" t="s">
        <v>340</v>
      </c>
      <c r="C12" s="42" t="s">
        <v>240</v>
      </c>
      <c r="D12" s="49"/>
      <c r="E12" s="43">
        <v>0</v>
      </c>
      <c r="F12" s="43">
        <v>7.4</v>
      </c>
      <c r="G12" s="44">
        <v>133.74</v>
      </c>
      <c r="H12" s="43">
        <v>5.92</v>
      </c>
      <c r="I12" s="43">
        <v>0</v>
      </c>
      <c r="J12" s="43">
        <v>0</v>
      </c>
      <c r="K12" s="43">
        <v>0</v>
      </c>
      <c r="L12" s="42">
        <f t="shared" si="0"/>
        <v>147.06</v>
      </c>
      <c r="M12" s="42"/>
    </row>
    <row r="13" spans="1:14" ht="42.75" customHeight="1" x14ac:dyDescent="0.3">
      <c r="A13" s="47" t="s">
        <v>339</v>
      </c>
      <c r="B13" s="46" t="s">
        <v>338</v>
      </c>
      <c r="C13" s="42" t="s">
        <v>240</v>
      </c>
      <c r="D13" s="48" t="s">
        <v>250</v>
      </c>
      <c r="E13" s="43">
        <v>0</v>
      </c>
      <c r="F13" s="43">
        <v>1.2</v>
      </c>
      <c r="G13" s="44">
        <v>21.599999999999998</v>
      </c>
      <c r="H13" s="43">
        <v>0.96</v>
      </c>
      <c r="I13" s="43">
        <v>0</v>
      </c>
      <c r="J13" s="43">
        <v>0</v>
      </c>
      <c r="K13" s="43">
        <v>0</v>
      </c>
      <c r="L13" s="42">
        <f t="shared" si="0"/>
        <v>23.759999999999998</v>
      </c>
      <c r="M13" s="42"/>
    </row>
    <row r="14" spans="1:14" ht="42.75" customHeight="1" x14ac:dyDescent="0.3">
      <c r="A14" s="47" t="s">
        <v>231</v>
      </c>
      <c r="B14" s="46" t="s">
        <v>337</v>
      </c>
      <c r="C14" s="42" t="s">
        <v>229</v>
      </c>
      <c r="D14" s="42"/>
      <c r="E14" s="43">
        <v>0</v>
      </c>
      <c r="F14" s="43">
        <v>5</v>
      </c>
      <c r="G14" s="44">
        <v>0</v>
      </c>
      <c r="H14" s="43">
        <v>0</v>
      </c>
      <c r="I14" s="43">
        <v>0</v>
      </c>
      <c r="J14" s="43">
        <v>0</v>
      </c>
      <c r="K14" s="43">
        <v>0</v>
      </c>
      <c r="L14" s="42">
        <f t="shared" si="0"/>
        <v>5</v>
      </c>
      <c r="M14" s="42"/>
    </row>
    <row r="15" spans="1:14" ht="42.75" customHeight="1" x14ac:dyDescent="0.3">
      <c r="A15" s="47" t="s">
        <v>231</v>
      </c>
      <c r="B15" s="46" t="s">
        <v>336</v>
      </c>
      <c r="C15" s="42" t="s">
        <v>229</v>
      </c>
      <c r="D15" s="42"/>
      <c r="E15" s="43">
        <v>0</v>
      </c>
      <c r="F15" s="43">
        <v>0.15</v>
      </c>
      <c r="G15" s="44">
        <v>0</v>
      </c>
      <c r="H15" s="43">
        <v>0.12</v>
      </c>
      <c r="I15" s="43">
        <v>0</v>
      </c>
      <c r="J15" s="43">
        <v>0</v>
      </c>
      <c r="K15" s="43">
        <v>0</v>
      </c>
      <c r="L15" s="42">
        <f t="shared" si="0"/>
        <v>0.27</v>
      </c>
      <c r="M15" s="42"/>
    </row>
    <row r="16" spans="1:14" ht="42.75" customHeight="1" x14ac:dyDescent="0.3">
      <c r="A16" s="47" t="s">
        <v>231</v>
      </c>
      <c r="B16" s="50" t="s">
        <v>335</v>
      </c>
      <c r="C16" s="42" t="s">
        <v>229</v>
      </c>
      <c r="D16" s="49"/>
      <c r="E16" s="43">
        <v>0</v>
      </c>
      <c r="F16" s="43">
        <v>0.2</v>
      </c>
      <c r="G16" s="44">
        <v>0</v>
      </c>
      <c r="H16" s="43">
        <v>4</v>
      </c>
      <c r="I16" s="43">
        <v>0</v>
      </c>
      <c r="J16" s="43">
        <v>0.5</v>
      </c>
      <c r="K16" s="43">
        <v>0</v>
      </c>
      <c r="L16" s="42">
        <f t="shared" si="0"/>
        <v>4.7</v>
      </c>
      <c r="M16" s="42"/>
    </row>
    <row r="17" spans="1:13" ht="42.75" customHeight="1" x14ac:dyDescent="0.3">
      <c r="A17" s="47" t="s">
        <v>231</v>
      </c>
      <c r="B17" s="46" t="s">
        <v>334</v>
      </c>
      <c r="C17" s="42" t="s">
        <v>229</v>
      </c>
      <c r="D17" s="42"/>
      <c r="E17" s="43">
        <v>0.26500000000000001</v>
      </c>
      <c r="F17" s="43">
        <v>0</v>
      </c>
      <c r="G17" s="44">
        <v>0</v>
      </c>
      <c r="H17" s="43">
        <v>0</v>
      </c>
      <c r="I17" s="43">
        <v>6.6000000000000003E-2</v>
      </c>
      <c r="J17" s="43">
        <v>0</v>
      </c>
      <c r="K17" s="43">
        <v>0</v>
      </c>
      <c r="L17" s="42">
        <f t="shared" si="0"/>
        <v>0.33100000000000002</v>
      </c>
      <c r="M17" s="42"/>
    </row>
    <row r="18" spans="1:13" ht="42.75" customHeight="1" x14ac:dyDescent="0.3">
      <c r="A18" s="47" t="s">
        <v>231</v>
      </c>
      <c r="B18" s="46" t="s">
        <v>333</v>
      </c>
      <c r="C18" s="42" t="s">
        <v>229</v>
      </c>
      <c r="D18" s="49"/>
      <c r="E18" s="43">
        <v>0.375</v>
      </c>
      <c r="F18" s="43">
        <v>0</v>
      </c>
      <c r="G18" s="44">
        <v>82.26</v>
      </c>
      <c r="H18" s="43">
        <v>0</v>
      </c>
      <c r="I18" s="43">
        <v>2E-3</v>
      </c>
      <c r="J18" s="43">
        <v>0</v>
      </c>
      <c r="K18" s="43">
        <v>0</v>
      </c>
      <c r="L18" s="42">
        <f t="shared" si="0"/>
        <v>82.637</v>
      </c>
      <c r="M18" s="42"/>
    </row>
    <row r="19" spans="1:13" ht="16.8" x14ac:dyDescent="0.3">
      <c r="A19" s="47" t="s">
        <v>231</v>
      </c>
      <c r="B19" s="46" t="s">
        <v>332</v>
      </c>
      <c r="C19" s="42" t="s">
        <v>229</v>
      </c>
      <c r="D19" s="42"/>
      <c r="E19" s="43">
        <v>7.8949999999999996</v>
      </c>
      <c r="F19" s="43">
        <v>0</v>
      </c>
      <c r="G19" s="44">
        <v>102.6</v>
      </c>
      <c r="H19" s="43">
        <v>3.544</v>
      </c>
      <c r="I19" s="43">
        <v>2.8540000000000001</v>
      </c>
      <c r="J19" s="43">
        <v>0</v>
      </c>
      <c r="K19" s="43">
        <v>0</v>
      </c>
      <c r="L19" s="42">
        <f t="shared" si="0"/>
        <v>116.89299999999999</v>
      </c>
      <c r="M19" s="42"/>
    </row>
    <row r="20" spans="1:13" ht="16.8" x14ac:dyDescent="0.3">
      <c r="A20" s="47" t="s">
        <v>231</v>
      </c>
      <c r="B20" s="46" t="s">
        <v>331</v>
      </c>
      <c r="C20" s="42" t="s">
        <v>229</v>
      </c>
      <c r="D20" s="42"/>
      <c r="E20" s="43">
        <v>0</v>
      </c>
      <c r="F20" s="43">
        <v>0</v>
      </c>
      <c r="G20" s="44">
        <v>0</v>
      </c>
      <c r="H20" s="43">
        <v>0</v>
      </c>
      <c r="I20" s="43">
        <v>4.0000000000000001E-3</v>
      </c>
      <c r="J20" s="43">
        <v>0</v>
      </c>
      <c r="K20" s="43">
        <v>0</v>
      </c>
      <c r="L20" s="42">
        <f t="shared" si="0"/>
        <v>4.0000000000000001E-3</v>
      </c>
      <c r="M20" s="42"/>
    </row>
    <row r="21" spans="1:13" ht="16.8" x14ac:dyDescent="0.3">
      <c r="A21" s="47" t="s">
        <v>231</v>
      </c>
      <c r="B21" s="46" t="s">
        <v>330</v>
      </c>
      <c r="C21" s="42" t="s">
        <v>229</v>
      </c>
      <c r="D21" s="42"/>
      <c r="E21" s="43">
        <v>0</v>
      </c>
      <c r="F21" s="43">
        <v>0</v>
      </c>
      <c r="G21" s="44">
        <v>0</v>
      </c>
      <c r="H21" s="43">
        <v>0</v>
      </c>
      <c r="I21" s="43">
        <v>4.0000000000000001E-3</v>
      </c>
      <c r="J21" s="43">
        <v>0</v>
      </c>
      <c r="K21" s="43">
        <v>0</v>
      </c>
      <c r="L21" s="42">
        <f t="shared" si="0"/>
        <v>4.0000000000000001E-3</v>
      </c>
      <c r="M21" s="42"/>
    </row>
    <row r="22" spans="1:13" ht="16.8" x14ac:dyDescent="0.3">
      <c r="A22" s="47" t="s">
        <v>231</v>
      </c>
      <c r="B22" s="46" t="s">
        <v>329</v>
      </c>
      <c r="C22" s="42" t="s">
        <v>229</v>
      </c>
      <c r="D22" s="42"/>
      <c r="E22" s="43">
        <v>0</v>
      </c>
      <c r="F22" s="43">
        <v>1.25</v>
      </c>
      <c r="G22" s="44">
        <v>22.14</v>
      </c>
      <c r="H22" s="43">
        <v>0.98399999999999999</v>
      </c>
      <c r="I22" s="43">
        <v>0</v>
      </c>
      <c r="J22" s="43">
        <v>0</v>
      </c>
      <c r="K22" s="43">
        <v>0</v>
      </c>
      <c r="L22" s="42">
        <f t="shared" si="0"/>
        <v>24.374000000000002</v>
      </c>
      <c r="M22" s="42"/>
    </row>
    <row r="23" spans="1:13" ht="33.6" x14ac:dyDescent="0.3">
      <c r="A23" s="47" t="s">
        <v>231</v>
      </c>
      <c r="B23" s="46" t="s">
        <v>328</v>
      </c>
      <c r="C23" s="42" t="s">
        <v>240</v>
      </c>
      <c r="D23" s="42"/>
      <c r="E23" s="43">
        <v>10</v>
      </c>
      <c r="F23" s="43">
        <v>20</v>
      </c>
      <c r="G23" s="44">
        <v>420</v>
      </c>
      <c r="H23" s="43">
        <v>16</v>
      </c>
      <c r="I23" s="43">
        <v>8</v>
      </c>
      <c r="J23" s="43">
        <v>14</v>
      </c>
      <c r="K23" s="43">
        <v>5</v>
      </c>
      <c r="L23" s="42">
        <f t="shared" si="0"/>
        <v>493</v>
      </c>
      <c r="M23" s="42"/>
    </row>
    <row r="24" spans="1:13" ht="48.75" customHeight="1" x14ac:dyDescent="0.3">
      <c r="A24" s="47" t="s">
        <v>231</v>
      </c>
      <c r="B24" s="46" t="s">
        <v>327</v>
      </c>
      <c r="C24" s="42" t="s">
        <v>240</v>
      </c>
      <c r="D24" s="42"/>
      <c r="E24" s="43">
        <v>14</v>
      </c>
      <c r="F24" s="43">
        <v>12</v>
      </c>
      <c r="G24" s="44">
        <v>360</v>
      </c>
      <c r="H24" s="43">
        <v>16</v>
      </c>
      <c r="I24" s="43">
        <v>7</v>
      </c>
      <c r="J24" s="43">
        <v>12</v>
      </c>
      <c r="K24" s="43">
        <v>5</v>
      </c>
      <c r="L24" s="42">
        <f t="shared" si="0"/>
        <v>426</v>
      </c>
      <c r="M24" s="42"/>
    </row>
    <row r="25" spans="1:13" ht="16.8" x14ac:dyDescent="0.3">
      <c r="A25" s="47" t="s">
        <v>231</v>
      </c>
      <c r="B25" s="46" t="s">
        <v>326</v>
      </c>
      <c r="C25" s="42" t="s">
        <v>240</v>
      </c>
      <c r="D25" s="42"/>
      <c r="E25" s="43">
        <v>0</v>
      </c>
      <c r="F25" s="43">
        <v>0</v>
      </c>
      <c r="G25" s="44">
        <v>0</v>
      </c>
      <c r="H25" s="43">
        <v>0</v>
      </c>
      <c r="I25" s="43">
        <v>10.08</v>
      </c>
      <c r="J25" s="43">
        <v>0</v>
      </c>
      <c r="K25" s="43">
        <v>14.784000000000001</v>
      </c>
      <c r="L25" s="42">
        <f t="shared" si="0"/>
        <v>24.864000000000001</v>
      </c>
      <c r="M25" s="42" t="s">
        <v>245</v>
      </c>
    </row>
    <row r="26" spans="1:13" ht="16.8" x14ac:dyDescent="0.3">
      <c r="A26" s="47" t="s">
        <v>231</v>
      </c>
      <c r="B26" s="46" t="s">
        <v>325</v>
      </c>
      <c r="C26" s="42" t="s">
        <v>240</v>
      </c>
      <c r="D26" s="49"/>
      <c r="E26" s="43">
        <v>0</v>
      </c>
      <c r="F26" s="43">
        <v>6.25</v>
      </c>
      <c r="G26" s="44">
        <v>0</v>
      </c>
      <c r="H26" s="43">
        <v>0</v>
      </c>
      <c r="I26" s="43">
        <v>0</v>
      </c>
      <c r="J26" s="43">
        <v>0</v>
      </c>
      <c r="K26" s="43">
        <v>0</v>
      </c>
      <c r="L26" s="42">
        <f t="shared" si="0"/>
        <v>6.25</v>
      </c>
      <c r="M26" s="42"/>
    </row>
    <row r="27" spans="1:13" ht="16.8" x14ac:dyDescent="0.3">
      <c r="A27" s="47" t="s">
        <v>231</v>
      </c>
      <c r="B27" s="46" t="s">
        <v>324</v>
      </c>
      <c r="C27" s="42" t="s">
        <v>240</v>
      </c>
      <c r="D27" s="42"/>
      <c r="E27" s="43">
        <v>0</v>
      </c>
      <c r="F27" s="43">
        <v>6.6000000000000005</v>
      </c>
      <c r="G27" s="44">
        <v>0</v>
      </c>
      <c r="H27" s="43">
        <v>0</v>
      </c>
      <c r="I27" s="43">
        <v>0</v>
      </c>
      <c r="J27" s="43">
        <v>0</v>
      </c>
      <c r="K27" s="43">
        <v>0</v>
      </c>
      <c r="L27" s="42">
        <f t="shared" si="0"/>
        <v>6.6000000000000005</v>
      </c>
      <c r="M27" s="42"/>
    </row>
    <row r="28" spans="1:13" ht="16.8" x14ac:dyDescent="0.3">
      <c r="A28" s="47" t="s">
        <v>231</v>
      </c>
      <c r="B28" s="46" t="s">
        <v>323</v>
      </c>
      <c r="C28" s="42" t="s">
        <v>229</v>
      </c>
      <c r="D28" s="49"/>
      <c r="E28" s="43">
        <v>0</v>
      </c>
      <c r="F28" s="43">
        <v>0</v>
      </c>
      <c r="G28" s="44">
        <v>0</v>
      </c>
      <c r="H28" s="43">
        <v>0</v>
      </c>
      <c r="I28" s="43">
        <v>0</v>
      </c>
      <c r="J28" s="43">
        <v>0</v>
      </c>
      <c r="K28" s="43">
        <v>0.72800000000000009</v>
      </c>
      <c r="L28" s="42">
        <f t="shared" si="0"/>
        <v>0.72800000000000009</v>
      </c>
      <c r="M28" s="42"/>
    </row>
    <row r="29" spans="1:13" ht="16.8" x14ac:dyDescent="0.3">
      <c r="A29" s="47" t="s">
        <v>231</v>
      </c>
      <c r="B29" s="46" t="s">
        <v>322</v>
      </c>
      <c r="C29" s="42" t="s">
        <v>229</v>
      </c>
      <c r="D29" s="42"/>
      <c r="E29" s="43">
        <v>0</v>
      </c>
      <c r="F29" s="43">
        <v>0.65</v>
      </c>
      <c r="G29" s="44">
        <v>23.400000000000002</v>
      </c>
      <c r="H29" s="43">
        <v>1.04</v>
      </c>
      <c r="I29" s="43">
        <v>0</v>
      </c>
      <c r="J29" s="43">
        <v>0</v>
      </c>
      <c r="K29" s="43">
        <v>0</v>
      </c>
      <c r="L29" s="42">
        <f t="shared" si="0"/>
        <v>25.09</v>
      </c>
      <c r="M29" s="42"/>
    </row>
    <row r="30" spans="1:13" ht="16.8" x14ac:dyDescent="0.3">
      <c r="A30" s="47" t="s">
        <v>231</v>
      </c>
      <c r="B30" s="46" t="s">
        <v>321</v>
      </c>
      <c r="C30" s="42" t="s">
        <v>229</v>
      </c>
      <c r="D30" s="49"/>
      <c r="E30" s="43">
        <v>0</v>
      </c>
      <c r="F30" s="43">
        <v>0</v>
      </c>
      <c r="G30" s="44">
        <v>0</v>
      </c>
      <c r="H30" s="43">
        <v>0</v>
      </c>
      <c r="I30" s="43">
        <v>3.1819999999999999</v>
      </c>
      <c r="J30" s="43">
        <v>0</v>
      </c>
      <c r="K30" s="43">
        <v>0</v>
      </c>
      <c r="L30" s="42">
        <f t="shared" si="0"/>
        <v>3.1819999999999999</v>
      </c>
      <c r="M30" s="42"/>
    </row>
    <row r="31" spans="1:13" ht="16.8" x14ac:dyDescent="0.3">
      <c r="A31" s="47" t="s">
        <v>231</v>
      </c>
      <c r="B31" s="46" t="s">
        <v>320</v>
      </c>
      <c r="C31" s="42" t="s">
        <v>229</v>
      </c>
      <c r="D31" s="49"/>
      <c r="E31" s="43">
        <v>0</v>
      </c>
      <c r="F31" s="43">
        <v>0</v>
      </c>
      <c r="G31" s="44">
        <v>0</v>
      </c>
      <c r="H31" s="43">
        <v>0</v>
      </c>
      <c r="I31" s="43">
        <v>3.5539999999999998</v>
      </c>
      <c r="J31" s="43">
        <v>0</v>
      </c>
      <c r="K31" s="43">
        <v>0</v>
      </c>
      <c r="L31" s="42">
        <f t="shared" si="0"/>
        <v>3.5539999999999998</v>
      </c>
      <c r="M31" s="42"/>
    </row>
    <row r="32" spans="1:13" ht="16.8" x14ac:dyDescent="0.3">
      <c r="A32" s="47" t="s">
        <v>231</v>
      </c>
      <c r="B32" s="46" t="s">
        <v>319</v>
      </c>
      <c r="C32" s="42" t="s">
        <v>229</v>
      </c>
      <c r="D32" s="42"/>
      <c r="E32" s="43">
        <v>0</v>
      </c>
      <c r="F32" s="43">
        <v>0</v>
      </c>
      <c r="G32" s="44">
        <v>0</v>
      </c>
      <c r="H32" s="43">
        <v>0</v>
      </c>
      <c r="I32" s="43">
        <v>0</v>
      </c>
      <c r="J32" s="43">
        <v>0</v>
      </c>
      <c r="K32" s="43">
        <v>0.63139999999999996</v>
      </c>
      <c r="L32" s="42">
        <f t="shared" si="0"/>
        <v>0.63139999999999996</v>
      </c>
      <c r="M32" s="42"/>
    </row>
    <row r="33" spans="1:13" ht="42.75" customHeight="1" x14ac:dyDescent="0.3">
      <c r="A33" s="47" t="s">
        <v>318</v>
      </c>
      <c r="B33" s="46" t="s">
        <v>317</v>
      </c>
      <c r="C33" s="42" t="s">
        <v>229</v>
      </c>
      <c r="D33" s="45" t="s">
        <v>262</v>
      </c>
      <c r="E33" s="43">
        <v>0</v>
      </c>
      <c r="F33" s="43">
        <v>0</v>
      </c>
      <c r="G33" s="44">
        <v>5.76</v>
      </c>
      <c r="H33" s="43">
        <v>0</v>
      </c>
      <c r="I33" s="43">
        <v>0</v>
      </c>
      <c r="J33" s="43">
        <v>0</v>
      </c>
      <c r="K33" s="43">
        <v>0</v>
      </c>
      <c r="L33" s="42">
        <f t="shared" si="0"/>
        <v>5.76</v>
      </c>
      <c r="M33" s="42"/>
    </row>
    <row r="34" spans="1:13" ht="42.75" customHeight="1" x14ac:dyDescent="0.3">
      <c r="A34" s="47" t="s">
        <v>231</v>
      </c>
      <c r="B34" s="46" t="s">
        <v>316</v>
      </c>
      <c r="C34" s="42" t="s">
        <v>240</v>
      </c>
      <c r="D34" s="49"/>
      <c r="E34" s="43">
        <v>0</v>
      </c>
      <c r="F34" s="43">
        <v>1.7000000000000002</v>
      </c>
      <c r="G34" s="44">
        <v>17.28</v>
      </c>
      <c r="H34" s="43">
        <v>0.80800000000000005</v>
      </c>
      <c r="I34" s="43">
        <v>0</v>
      </c>
      <c r="J34" s="43">
        <v>0</v>
      </c>
      <c r="K34" s="43">
        <v>0</v>
      </c>
      <c r="L34" s="42">
        <f t="shared" ref="L34:L65" si="1">SUM(E34:K34)</f>
        <v>19.788</v>
      </c>
      <c r="M34" s="42"/>
    </row>
    <row r="35" spans="1:13" ht="42.75" customHeight="1" x14ac:dyDescent="0.3">
      <c r="A35" s="47" t="s">
        <v>231</v>
      </c>
      <c r="B35" s="46" t="s">
        <v>315</v>
      </c>
      <c r="C35" s="42" t="s">
        <v>240</v>
      </c>
      <c r="D35" s="49"/>
      <c r="E35" s="43">
        <v>0</v>
      </c>
      <c r="F35" s="43">
        <v>0</v>
      </c>
      <c r="G35" s="44">
        <v>210.6</v>
      </c>
      <c r="H35" s="43">
        <v>0</v>
      </c>
      <c r="I35" s="43">
        <v>0</v>
      </c>
      <c r="J35" s="43">
        <v>0</v>
      </c>
      <c r="K35" s="43">
        <v>0</v>
      </c>
      <c r="L35" s="42">
        <f t="shared" si="1"/>
        <v>210.6</v>
      </c>
      <c r="M35" s="42"/>
    </row>
    <row r="36" spans="1:13" ht="42.75" customHeight="1" x14ac:dyDescent="0.3">
      <c r="A36" s="47" t="s">
        <v>231</v>
      </c>
      <c r="B36" s="46" t="s">
        <v>314</v>
      </c>
      <c r="C36" s="42" t="s">
        <v>240</v>
      </c>
      <c r="D36" s="49"/>
      <c r="E36" s="43">
        <v>0</v>
      </c>
      <c r="F36" s="43">
        <v>0.70000000000000007</v>
      </c>
      <c r="G36" s="44">
        <v>12.600000000000001</v>
      </c>
      <c r="H36" s="43">
        <v>0.67200000000000004</v>
      </c>
      <c r="I36" s="43">
        <v>0</v>
      </c>
      <c r="J36" s="43">
        <v>0</v>
      </c>
      <c r="K36" s="43">
        <v>0</v>
      </c>
      <c r="L36" s="42">
        <f t="shared" si="1"/>
        <v>13.972000000000001</v>
      </c>
      <c r="M36" s="42"/>
    </row>
    <row r="37" spans="1:13" ht="42.75" customHeight="1" x14ac:dyDescent="0.3">
      <c r="A37" s="47" t="s">
        <v>231</v>
      </c>
      <c r="B37" s="46" t="s">
        <v>313</v>
      </c>
      <c r="C37" s="42" t="s">
        <v>240</v>
      </c>
      <c r="D37" s="49"/>
      <c r="E37" s="43">
        <v>0</v>
      </c>
      <c r="F37" s="43">
        <v>0</v>
      </c>
      <c r="G37" s="44">
        <v>3.5999999999999996</v>
      </c>
      <c r="H37" s="43">
        <v>0</v>
      </c>
      <c r="I37" s="43">
        <v>0</v>
      </c>
      <c r="J37" s="43">
        <v>0</v>
      </c>
      <c r="K37" s="43">
        <v>0</v>
      </c>
      <c r="L37" s="42">
        <f t="shared" si="1"/>
        <v>3.5999999999999996</v>
      </c>
      <c r="M37" s="42"/>
    </row>
    <row r="38" spans="1:13" ht="42.75" customHeight="1" x14ac:dyDescent="0.3">
      <c r="A38" s="47" t="s">
        <v>231</v>
      </c>
      <c r="B38" s="46" t="s">
        <v>312</v>
      </c>
      <c r="C38" s="42" t="s">
        <v>229</v>
      </c>
      <c r="D38" s="49"/>
      <c r="E38" s="43">
        <v>0</v>
      </c>
      <c r="F38" s="43">
        <v>0</v>
      </c>
      <c r="G38" s="44">
        <v>0</v>
      </c>
      <c r="H38" s="43">
        <v>0</v>
      </c>
      <c r="I38" s="43">
        <v>0.74</v>
      </c>
      <c r="J38" s="43">
        <v>0</v>
      </c>
      <c r="K38" s="43">
        <v>0</v>
      </c>
      <c r="L38" s="42">
        <f t="shared" si="1"/>
        <v>0.74</v>
      </c>
      <c r="M38" s="42"/>
    </row>
    <row r="39" spans="1:13" ht="42.75" customHeight="1" x14ac:dyDescent="0.3">
      <c r="A39" s="47" t="s">
        <v>231</v>
      </c>
      <c r="B39" s="46" t="s">
        <v>311</v>
      </c>
      <c r="C39" s="42" t="s">
        <v>229</v>
      </c>
      <c r="D39" s="49"/>
      <c r="E39" s="43">
        <v>0</v>
      </c>
      <c r="F39" s="43">
        <v>6.05</v>
      </c>
      <c r="G39" s="44">
        <v>102.23999999999998</v>
      </c>
      <c r="H39" s="43">
        <v>2.8</v>
      </c>
      <c r="I39" s="43">
        <v>0</v>
      </c>
      <c r="J39" s="43">
        <v>0</v>
      </c>
      <c r="K39" s="43">
        <v>0</v>
      </c>
      <c r="L39" s="42">
        <f t="shared" si="1"/>
        <v>111.08999999999997</v>
      </c>
      <c r="M39" s="42"/>
    </row>
    <row r="40" spans="1:13" ht="42.75" customHeight="1" x14ac:dyDescent="0.3">
      <c r="A40" s="47" t="s">
        <v>297</v>
      </c>
      <c r="B40" s="46" t="s">
        <v>310</v>
      </c>
      <c r="C40" s="42" t="s">
        <v>229</v>
      </c>
      <c r="D40" s="48" t="s">
        <v>307</v>
      </c>
      <c r="E40" s="43">
        <v>0.26500000000000001</v>
      </c>
      <c r="F40" s="43">
        <v>1.585</v>
      </c>
      <c r="G40" s="44">
        <v>29.52</v>
      </c>
      <c r="H40" s="43">
        <v>1.3120000000000001</v>
      </c>
      <c r="I40" s="43">
        <v>4.3999999999999997E-2</v>
      </c>
      <c r="J40" s="43">
        <v>0</v>
      </c>
      <c r="K40" s="43">
        <v>0</v>
      </c>
      <c r="L40" s="42">
        <f t="shared" si="1"/>
        <v>32.725999999999999</v>
      </c>
      <c r="M40" s="42"/>
    </row>
    <row r="41" spans="1:13" ht="42.75" customHeight="1" x14ac:dyDescent="0.3">
      <c r="A41" s="47" t="s">
        <v>231</v>
      </c>
      <c r="B41" s="46" t="s">
        <v>309</v>
      </c>
      <c r="C41" s="42" t="s">
        <v>229</v>
      </c>
      <c r="D41" s="49"/>
      <c r="E41" s="43">
        <v>0</v>
      </c>
      <c r="F41" s="43">
        <v>3.8</v>
      </c>
      <c r="G41" s="44">
        <v>80.459999999999994</v>
      </c>
      <c r="H41" s="43">
        <v>3.28</v>
      </c>
      <c r="I41" s="43">
        <v>0</v>
      </c>
      <c r="J41" s="43">
        <v>0</v>
      </c>
      <c r="K41" s="43">
        <v>0</v>
      </c>
      <c r="L41" s="42">
        <f t="shared" si="1"/>
        <v>87.539999999999992</v>
      </c>
      <c r="M41" s="42"/>
    </row>
    <row r="42" spans="1:13" ht="42.75" customHeight="1" x14ac:dyDescent="0.3">
      <c r="A42" s="47" t="s">
        <v>297</v>
      </c>
      <c r="B42" s="46" t="s">
        <v>308</v>
      </c>
      <c r="C42" s="42" t="s">
        <v>229</v>
      </c>
      <c r="D42" s="48" t="s">
        <v>307</v>
      </c>
      <c r="E42" s="43">
        <v>0</v>
      </c>
      <c r="F42" s="43">
        <v>0</v>
      </c>
      <c r="G42" s="44">
        <v>15</v>
      </c>
      <c r="H42" s="43">
        <v>0</v>
      </c>
      <c r="I42" s="43">
        <v>0.5</v>
      </c>
      <c r="J42" s="43">
        <v>0</v>
      </c>
      <c r="K42" s="43">
        <v>0</v>
      </c>
      <c r="L42" s="42">
        <f t="shared" si="1"/>
        <v>15.5</v>
      </c>
      <c r="M42" s="42"/>
    </row>
    <row r="43" spans="1:13" ht="42.75" customHeight="1" x14ac:dyDescent="0.3">
      <c r="A43" s="47" t="s">
        <v>231</v>
      </c>
      <c r="B43" s="46" t="s">
        <v>306</v>
      </c>
      <c r="C43" s="42" t="s">
        <v>229</v>
      </c>
      <c r="D43" s="42"/>
      <c r="E43" s="43">
        <v>0</v>
      </c>
      <c r="F43" s="43">
        <v>0</v>
      </c>
      <c r="G43" s="44">
        <v>46.800000000000004</v>
      </c>
      <c r="H43" s="43">
        <v>0</v>
      </c>
      <c r="I43" s="43">
        <v>0</v>
      </c>
      <c r="J43" s="43">
        <v>0</v>
      </c>
      <c r="K43" s="43">
        <v>0</v>
      </c>
      <c r="L43" s="42">
        <f t="shared" si="1"/>
        <v>46.800000000000004</v>
      </c>
      <c r="M43" s="42"/>
    </row>
    <row r="44" spans="1:13" ht="42.75" customHeight="1" x14ac:dyDescent="0.3">
      <c r="A44" s="47" t="s">
        <v>231</v>
      </c>
      <c r="B44" s="46" t="s">
        <v>305</v>
      </c>
      <c r="C44" s="42" t="s">
        <v>229</v>
      </c>
      <c r="D44" s="42"/>
      <c r="E44" s="43">
        <v>0</v>
      </c>
      <c r="F44" s="43">
        <v>2.8699999999999997</v>
      </c>
      <c r="G44" s="44">
        <v>77.400000000000006</v>
      </c>
      <c r="H44" s="43">
        <v>2.16</v>
      </c>
      <c r="I44" s="43">
        <v>0</v>
      </c>
      <c r="J44" s="43">
        <v>0</v>
      </c>
      <c r="K44" s="43">
        <v>0</v>
      </c>
      <c r="L44" s="42">
        <f t="shared" si="1"/>
        <v>82.43</v>
      </c>
      <c r="M44" s="42"/>
    </row>
    <row r="45" spans="1:13" ht="42.75" customHeight="1" x14ac:dyDescent="0.3">
      <c r="A45" s="47" t="s">
        <v>231</v>
      </c>
      <c r="B45" s="46" t="s">
        <v>304</v>
      </c>
      <c r="C45" s="42" t="s">
        <v>229</v>
      </c>
      <c r="D45" s="42"/>
      <c r="E45" s="43">
        <v>0</v>
      </c>
      <c r="F45" s="43">
        <v>0</v>
      </c>
      <c r="G45" s="44">
        <v>0</v>
      </c>
      <c r="H45" s="43">
        <v>2.08</v>
      </c>
      <c r="I45" s="43">
        <v>0</v>
      </c>
      <c r="J45" s="43">
        <v>0</v>
      </c>
      <c r="K45" s="43">
        <v>0</v>
      </c>
      <c r="L45" s="42">
        <f t="shared" si="1"/>
        <v>2.08</v>
      </c>
      <c r="M45" s="42"/>
    </row>
    <row r="46" spans="1:13" ht="42.75" customHeight="1" x14ac:dyDescent="0.3">
      <c r="A46" s="47" t="s">
        <v>231</v>
      </c>
      <c r="B46" s="46" t="s">
        <v>303</v>
      </c>
      <c r="C46" s="42" t="s">
        <v>229</v>
      </c>
      <c r="D46" s="42"/>
      <c r="E46" s="43">
        <v>0</v>
      </c>
      <c r="F46" s="43">
        <v>2.6</v>
      </c>
      <c r="G46" s="44">
        <v>0</v>
      </c>
      <c r="H46" s="43">
        <v>0</v>
      </c>
      <c r="I46" s="43">
        <v>0</v>
      </c>
      <c r="J46" s="43">
        <v>0</v>
      </c>
      <c r="K46" s="43">
        <v>0</v>
      </c>
      <c r="L46" s="42">
        <f t="shared" si="1"/>
        <v>2.6</v>
      </c>
      <c r="M46" s="42"/>
    </row>
    <row r="47" spans="1:13" ht="42.75" customHeight="1" x14ac:dyDescent="0.3">
      <c r="A47" s="47" t="s">
        <v>231</v>
      </c>
      <c r="B47" s="46" t="s">
        <v>302</v>
      </c>
      <c r="C47" s="42" t="s">
        <v>240</v>
      </c>
      <c r="D47" s="42"/>
      <c r="E47" s="43">
        <v>111.85000000000001</v>
      </c>
      <c r="F47" s="43">
        <v>50</v>
      </c>
      <c r="G47" s="44">
        <v>900</v>
      </c>
      <c r="H47" s="43">
        <v>40</v>
      </c>
      <c r="I47" s="43">
        <v>32.14</v>
      </c>
      <c r="J47" s="43">
        <v>0</v>
      </c>
      <c r="K47" s="43">
        <v>0</v>
      </c>
      <c r="L47" s="42">
        <f t="shared" si="1"/>
        <v>1133.99</v>
      </c>
      <c r="M47" s="42"/>
    </row>
    <row r="48" spans="1:13" ht="42.75" customHeight="1" x14ac:dyDescent="0.3">
      <c r="A48" s="47" t="s">
        <v>231</v>
      </c>
      <c r="B48" s="46" t="s">
        <v>301</v>
      </c>
      <c r="C48" s="42" t="s">
        <v>240</v>
      </c>
      <c r="D48" s="42"/>
      <c r="E48" s="43">
        <v>23.759999999999998</v>
      </c>
      <c r="F48" s="43">
        <v>4.3650000000000002</v>
      </c>
      <c r="G48" s="44">
        <v>78.84</v>
      </c>
      <c r="H48" s="43">
        <v>3.504</v>
      </c>
      <c r="I48" s="43">
        <v>3.3180000000000001</v>
      </c>
      <c r="J48" s="43">
        <v>0</v>
      </c>
      <c r="K48" s="43">
        <v>0</v>
      </c>
      <c r="L48" s="42">
        <f t="shared" si="1"/>
        <v>113.78700000000001</v>
      </c>
      <c r="M48" s="42"/>
    </row>
    <row r="49" spans="1:13" ht="42.75" customHeight="1" x14ac:dyDescent="0.3">
      <c r="A49" s="47" t="s">
        <v>231</v>
      </c>
      <c r="B49" s="46" t="s">
        <v>300</v>
      </c>
      <c r="C49" s="42" t="s">
        <v>240</v>
      </c>
      <c r="D49" s="42"/>
      <c r="E49" s="43">
        <v>23.759999999999998</v>
      </c>
      <c r="F49" s="43">
        <v>0</v>
      </c>
      <c r="G49" s="44">
        <v>0</v>
      </c>
      <c r="H49" s="43">
        <v>0</v>
      </c>
      <c r="I49" s="43">
        <v>3.3159999999999998</v>
      </c>
      <c r="J49" s="43">
        <v>0</v>
      </c>
      <c r="K49" s="43">
        <v>0</v>
      </c>
      <c r="L49" s="42">
        <f t="shared" si="1"/>
        <v>27.075999999999997</v>
      </c>
      <c r="M49" s="42"/>
    </row>
    <row r="50" spans="1:13" ht="42.75" customHeight="1" x14ac:dyDescent="0.3">
      <c r="A50" s="47" t="s">
        <v>231</v>
      </c>
      <c r="B50" s="46" t="s">
        <v>299</v>
      </c>
      <c r="C50" s="42" t="s">
        <v>240</v>
      </c>
      <c r="D50" s="49"/>
      <c r="E50" s="43">
        <v>0</v>
      </c>
      <c r="F50" s="43">
        <v>50.865000000000002</v>
      </c>
      <c r="G50" s="44">
        <v>915.66</v>
      </c>
      <c r="H50" s="43">
        <v>40.72</v>
      </c>
      <c r="I50" s="43">
        <v>0</v>
      </c>
      <c r="J50" s="43">
        <v>0</v>
      </c>
      <c r="K50" s="43">
        <v>0</v>
      </c>
      <c r="L50" s="42">
        <f t="shared" si="1"/>
        <v>1007.245</v>
      </c>
      <c r="M50" s="42"/>
    </row>
    <row r="51" spans="1:13" ht="42.75" customHeight="1" x14ac:dyDescent="0.3">
      <c r="A51" s="47" t="s">
        <v>231</v>
      </c>
      <c r="B51" s="46" t="s">
        <v>298</v>
      </c>
      <c r="C51" s="42" t="s">
        <v>229</v>
      </c>
      <c r="D51" s="42"/>
      <c r="E51" s="43">
        <v>0</v>
      </c>
      <c r="F51" s="43">
        <v>10</v>
      </c>
      <c r="G51" s="44">
        <v>0</v>
      </c>
      <c r="H51" s="43">
        <v>0</v>
      </c>
      <c r="I51" s="43">
        <v>0</v>
      </c>
      <c r="J51" s="43">
        <v>0</v>
      </c>
      <c r="K51" s="43">
        <v>0</v>
      </c>
      <c r="L51" s="42">
        <f t="shared" si="1"/>
        <v>10</v>
      </c>
      <c r="M51" s="42"/>
    </row>
    <row r="52" spans="1:13" ht="42.75" customHeight="1" x14ac:dyDescent="0.3">
      <c r="A52" s="47" t="s">
        <v>297</v>
      </c>
      <c r="B52" s="46" t="s">
        <v>296</v>
      </c>
      <c r="C52" s="42" t="s">
        <v>229</v>
      </c>
      <c r="D52" s="45" t="s">
        <v>262</v>
      </c>
      <c r="E52" s="43">
        <v>0</v>
      </c>
      <c r="F52" s="43">
        <v>0</v>
      </c>
      <c r="G52" s="44">
        <v>180</v>
      </c>
      <c r="H52" s="43">
        <v>8</v>
      </c>
      <c r="I52" s="43">
        <v>0</v>
      </c>
      <c r="J52" s="43">
        <v>0</v>
      </c>
      <c r="K52" s="43">
        <v>0</v>
      </c>
      <c r="L52" s="42">
        <f t="shared" si="1"/>
        <v>188</v>
      </c>
      <c r="M52" s="42"/>
    </row>
    <row r="53" spans="1:13" ht="42.75" customHeight="1" x14ac:dyDescent="0.3">
      <c r="A53" s="47" t="s">
        <v>231</v>
      </c>
      <c r="B53" s="46" t="s">
        <v>295</v>
      </c>
      <c r="C53" s="42" t="s">
        <v>229</v>
      </c>
      <c r="D53" s="49"/>
      <c r="E53" s="43">
        <v>10</v>
      </c>
      <c r="F53" s="43">
        <v>2.5</v>
      </c>
      <c r="G53" s="44">
        <v>0</v>
      </c>
      <c r="H53" s="43">
        <v>4</v>
      </c>
      <c r="I53" s="43">
        <v>1</v>
      </c>
      <c r="J53" s="43">
        <v>0</v>
      </c>
      <c r="K53" s="43">
        <v>0</v>
      </c>
      <c r="L53" s="42">
        <f t="shared" si="1"/>
        <v>17.5</v>
      </c>
      <c r="M53" s="42"/>
    </row>
    <row r="54" spans="1:13" ht="42.75" customHeight="1" x14ac:dyDescent="0.3">
      <c r="A54" s="47" t="s">
        <v>231</v>
      </c>
      <c r="B54" s="46" t="s">
        <v>294</v>
      </c>
      <c r="C54" s="42" t="s">
        <v>229</v>
      </c>
      <c r="D54" s="49"/>
      <c r="E54" s="43">
        <v>5</v>
      </c>
      <c r="F54" s="43">
        <v>7.5</v>
      </c>
      <c r="G54" s="44">
        <v>180</v>
      </c>
      <c r="H54" s="43">
        <v>8</v>
      </c>
      <c r="I54" s="43">
        <v>5</v>
      </c>
      <c r="J54" s="43">
        <v>0</v>
      </c>
      <c r="K54" s="43">
        <v>0</v>
      </c>
      <c r="L54" s="42">
        <f t="shared" si="1"/>
        <v>205.5</v>
      </c>
      <c r="M54" s="42"/>
    </row>
    <row r="55" spans="1:13" ht="42.75" customHeight="1" x14ac:dyDescent="0.3">
      <c r="A55" s="47" t="s">
        <v>231</v>
      </c>
      <c r="B55" s="46" t="s">
        <v>293</v>
      </c>
      <c r="C55" s="42" t="s">
        <v>229</v>
      </c>
      <c r="D55" s="42"/>
      <c r="E55" s="43">
        <v>10</v>
      </c>
      <c r="F55" s="43">
        <v>7.5</v>
      </c>
      <c r="G55" s="44">
        <v>180</v>
      </c>
      <c r="H55" s="43">
        <v>8</v>
      </c>
      <c r="I55" s="43">
        <v>7</v>
      </c>
      <c r="J55" s="43">
        <v>0</v>
      </c>
      <c r="K55" s="43">
        <v>0</v>
      </c>
      <c r="L55" s="42">
        <f t="shared" si="1"/>
        <v>212.5</v>
      </c>
      <c r="M55" s="42"/>
    </row>
    <row r="56" spans="1:13" ht="42.75" customHeight="1" x14ac:dyDescent="0.3">
      <c r="A56" s="47" t="s">
        <v>231</v>
      </c>
      <c r="B56" s="46" t="s">
        <v>292</v>
      </c>
      <c r="C56" s="42" t="s">
        <v>229</v>
      </c>
      <c r="D56" s="49"/>
      <c r="E56" s="43">
        <v>7.5</v>
      </c>
      <c r="F56" s="43">
        <v>5</v>
      </c>
      <c r="G56" s="44">
        <v>90</v>
      </c>
      <c r="H56" s="43">
        <v>4</v>
      </c>
      <c r="I56" s="43">
        <v>4</v>
      </c>
      <c r="J56" s="43">
        <v>0</v>
      </c>
      <c r="K56" s="43">
        <v>0</v>
      </c>
      <c r="L56" s="42">
        <f t="shared" si="1"/>
        <v>110.5</v>
      </c>
      <c r="M56" s="42"/>
    </row>
    <row r="57" spans="1:13" ht="42.75" customHeight="1" x14ac:dyDescent="0.3">
      <c r="A57" s="47" t="s">
        <v>231</v>
      </c>
      <c r="B57" s="46" t="s">
        <v>291</v>
      </c>
      <c r="C57" s="42" t="s">
        <v>229</v>
      </c>
      <c r="D57" s="42"/>
      <c r="E57" s="43">
        <v>25</v>
      </c>
      <c r="F57" s="43">
        <v>25</v>
      </c>
      <c r="G57" s="44">
        <v>540</v>
      </c>
      <c r="H57" s="43">
        <v>24</v>
      </c>
      <c r="I57" s="43">
        <v>13</v>
      </c>
      <c r="J57" s="43">
        <v>0</v>
      </c>
      <c r="K57" s="43">
        <v>0</v>
      </c>
      <c r="L57" s="42">
        <f t="shared" si="1"/>
        <v>627</v>
      </c>
      <c r="M57" s="42"/>
    </row>
    <row r="58" spans="1:13" ht="42.75" customHeight="1" x14ac:dyDescent="0.3">
      <c r="A58" s="47" t="s">
        <v>231</v>
      </c>
      <c r="B58" s="46" t="s">
        <v>290</v>
      </c>
      <c r="C58" s="42" t="s">
        <v>229</v>
      </c>
      <c r="D58" s="49"/>
      <c r="E58" s="43">
        <v>0</v>
      </c>
      <c r="F58" s="43">
        <v>1</v>
      </c>
      <c r="G58" s="44">
        <v>0</v>
      </c>
      <c r="H58" s="43">
        <v>0</v>
      </c>
      <c r="I58" s="43">
        <v>0</v>
      </c>
      <c r="J58" s="43">
        <v>0</v>
      </c>
      <c r="K58" s="43">
        <v>0</v>
      </c>
      <c r="L58" s="42">
        <f t="shared" si="1"/>
        <v>1</v>
      </c>
      <c r="M58" s="42"/>
    </row>
    <row r="59" spans="1:13" ht="42.75" customHeight="1" x14ac:dyDescent="0.3">
      <c r="A59" s="47" t="s">
        <v>231</v>
      </c>
      <c r="B59" s="46" t="s">
        <v>289</v>
      </c>
      <c r="C59" s="42" t="s">
        <v>229</v>
      </c>
      <c r="D59" s="42"/>
      <c r="E59" s="43">
        <v>0</v>
      </c>
      <c r="F59" s="43">
        <v>1.5</v>
      </c>
      <c r="G59" s="44">
        <v>36.000000000000007</v>
      </c>
      <c r="H59" s="43">
        <v>1.6</v>
      </c>
      <c r="I59" s="43">
        <v>0</v>
      </c>
      <c r="J59" s="43">
        <v>0</v>
      </c>
      <c r="K59" s="43">
        <v>0</v>
      </c>
      <c r="L59" s="42">
        <f t="shared" si="1"/>
        <v>39.100000000000009</v>
      </c>
      <c r="M59" s="42"/>
    </row>
    <row r="60" spans="1:13" ht="42.75" customHeight="1" x14ac:dyDescent="0.3">
      <c r="A60" s="47" t="s">
        <v>231</v>
      </c>
      <c r="B60" s="46" t="s">
        <v>288</v>
      </c>
      <c r="C60" s="42" t="s">
        <v>229</v>
      </c>
      <c r="D60" s="42"/>
      <c r="E60" s="43">
        <v>0</v>
      </c>
      <c r="F60" s="43">
        <v>1</v>
      </c>
      <c r="G60" s="44">
        <v>18.000000000000004</v>
      </c>
      <c r="H60" s="43">
        <v>0.8</v>
      </c>
      <c r="I60" s="43">
        <v>0</v>
      </c>
      <c r="J60" s="43">
        <v>0</v>
      </c>
      <c r="K60" s="43">
        <v>0</v>
      </c>
      <c r="L60" s="42">
        <f t="shared" si="1"/>
        <v>19.800000000000004</v>
      </c>
      <c r="M60" s="42"/>
    </row>
    <row r="61" spans="1:13" ht="42.75" customHeight="1" x14ac:dyDescent="0.3">
      <c r="A61" s="47" t="s">
        <v>231</v>
      </c>
      <c r="B61" s="46" t="s">
        <v>287</v>
      </c>
      <c r="C61" s="42" t="s">
        <v>229</v>
      </c>
      <c r="D61" s="42"/>
      <c r="E61" s="43">
        <v>0</v>
      </c>
      <c r="F61" s="43">
        <v>1.5</v>
      </c>
      <c r="G61" s="44">
        <v>36.000000000000007</v>
      </c>
      <c r="H61" s="43">
        <v>0.8</v>
      </c>
      <c r="I61" s="43">
        <v>0</v>
      </c>
      <c r="J61" s="43">
        <v>0</v>
      </c>
      <c r="K61" s="43">
        <v>0</v>
      </c>
      <c r="L61" s="42">
        <f t="shared" si="1"/>
        <v>38.300000000000004</v>
      </c>
      <c r="M61" s="42"/>
    </row>
    <row r="62" spans="1:13" ht="42.75" customHeight="1" x14ac:dyDescent="0.3">
      <c r="A62" s="47" t="s">
        <v>231</v>
      </c>
      <c r="B62" s="46" t="s">
        <v>286</v>
      </c>
      <c r="C62" s="42" t="s">
        <v>229</v>
      </c>
      <c r="D62" s="42"/>
      <c r="E62" s="43">
        <v>0</v>
      </c>
      <c r="F62" s="43">
        <v>0</v>
      </c>
      <c r="G62" s="44">
        <v>60</v>
      </c>
      <c r="H62" s="43">
        <v>0</v>
      </c>
      <c r="I62" s="43">
        <v>0</v>
      </c>
      <c r="J62" s="43">
        <v>5</v>
      </c>
      <c r="K62" s="43">
        <v>0</v>
      </c>
      <c r="L62" s="42">
        <f t="shared" si="1"/>
        <v>65</v>
      </c>
      <c r="M62" s="42"/>
    </row>
    <row r="63" spans="1:13" ht="42.75" customHeight="1" x14ac:dyDescent="0.3">
      <c r="A63" s="47" t="s">
        <v>231</v>
      </c>
      <c r="B63" s="46" t="s">
        <v>285</v>
      </c>
      <c r="C63" s="42" t="s">
        <v>229</v>
      </c>
      <c r="D63" s="42"/>
      <c r="E63" s="43">
        <v>0</v>
      </c>
      <c r="F63" s="43">
        <v>1.5</v>
      </c>
      <c r="G63" s="44">
        <v>26.999999999999996</v>
      </c>
      <c r="H63" s="43">
        <v>0</v>
      </c>
      <c r="I63" s="43">
        <v>0</v>
      </c>
      <c r="J63" s="43">
        <v>0</v>
      </c>
      <c r="K63" s="43">
        <v>0</v>
      </c>
      <c r="L63" s="42">
        <f t="shared" si="1"/>
        <v>28.499999999999996</v>
      </c>
      <c r="M63" s="42"/>
    </row>
    <row r="64" spans="1:13" ht="42.75" customHeight="1" x14ac:dyDescent="0.3">
      <c r="A64" s="47" t="s">
        <v>231</v>
      </c>
      <c r="B64" s="46" t="s">
        <v>284</v>
      </c>
      <c r="C64" s="42" t="s">
        <v>240</v>
      </c>
      <c r="D64" s="42"/>
      <c r="E64" s="43">
        <v>0</v>
      </c>
      <c r="F64" s="43">
        <v>14.295</v>
      </c>
      <c r="G64" s="44">
        <v>0</v>
      </c>
      <c r="H64" s="43">
        <v>0</v>
      </c>
      <c r="I64" s="43">
        <v>0</v>
      </c>
      <c r="J64" s="43">
        <v>0</v>
      </c>
      <c r="K64" s="43">
        <v>0</v>
      </c>
      <c r="L64" s="42">
        <f t="shared" si="1"/>
        <v>14.295</v>
      </c>
      <c r="M64" s="42"/>
    </row>
    <row r="65" spans="1:13" ht="42.75" customHeight="1" x14ac:dyDescent="0.3">
      <c r="A65" s="47" t="s">
        <v>231</v>
      </c>
      <c r="B65" s="46" t="s">
        <v>283</v>
      </c>
      <c r="C65" s="42" t="s">
        <v>229</v>
      </c>
      <c r="D65" s="42"/>
      <c r="E65" s="43">
        <v>0</v>
      </c>
      <c r="F65" s="43">
        <v>410</v>
      </c>
      <c r="G65" s="44">
        <v>13320</v>
      </c>
      <c r="H65" s="43">
        <v>592</v>
      </c>
      <c r="I65" s="43">
        <v>0</v>
      </c>
      <c r="J65" s="43">
        <v>0</v>
      </c>
      <c r="K65" s="43">
        <v>0</v>
      </c>
      <c r="L65" s="42">
        <f t="shared" si="1"/>
        <v>14322</v>
      </c>
      <c r="M65" s="42"/>
    </row>
    <row r="66" spans="1:13" ht="42.75" customHeight="1" x14ac:dyDescent="0.3">
      <c r="A66" s="47" t="s">
        <v>231</v>
      </c>
      <c r="B66" s="46" t="s">
        <v>282</v>
      </c>
      <c r="C66" s="42" t="s">
        <v>229</v>
      </c>
      <c r="D66" s="42"/>
      <c r="E66" s="43">
        <v>0</v>
      </c>
      <c r="F66" s="43">
        <v>40</v>
      </c>
      <c r="G66" s="44">
        <v>4140</v>
      </c>
      <c r="H66" s="43">
        <v>160</v>
      </c>
      <c r="I66" s="43">
        <v>0</v>
      </c>
      <c r="J66" s="43">
        <v>0</v>
      </c>
      <c r="K66" s="43">
        <v>0</v>
      </c>
      <c r="L66" s="42">
        <f t="shared" ref="L66:L97" si="2">SUM(E66:K66)</f>
        <v>4340</v>
      </c>
      <c r="M66" s="42"/>
    </row>
    <row r="67" spans="1:13" ht="42.75" customHeight="1" x14ac:dyDescent="0.3">
      <c r="A67" s="47" t="s">
        <v>231</v>
      </c>
      <c r="B67" s="46" t="s">
        <v>281</v>
      </c>
      <c r="C67" s="42" t="s">
        <v>229</v>
      </c>
      <c r="D67" s="49"/>
      <c r="E67" s="43">
        <v>0</v>
      </c>
      <c r="F67" s="43">
        <v>510</v>
      </c>
      <c r="G67" s="44">
        <v>12600</v>
      </c>
      <c r="H67" s="43">
        <v>584</v>
      </c>
      <c r="I67" s="43">
        <v>0</v>
      </c>
      <c r="J67" s="43">
        <v>0</v>
      </c>
      <c r="K67" s="43">
        <v>0</v>
      </c>
      <c r="L67" s="42">
        <f t="shared" si="2"/>
        <v>13694</v>
      </c>
      <c r="M67" s="42"/>
    </row>
    <row r="68" spans="1:13" ht="42.75" customHeight="1" x14ac:dyDescent="0.3">
      <c r="A68" s="47" t="s">
        <v>231</v>
      </c>
      <c r="B68" s="46" t="s">
        <v>280</v>
      </c>
      <c r="C68" s="42" t="s">
        <v>229</v>
      </c>
      <c r="D68" s="49"/>
      <c r="E68" s="43">
        <v>0</v>
      </c>
      <c r="F68" s="43">
        <v>480</v>
      </c>
      <c r="G68" s="44">
        <v>15300</v>
      </c>
      <c r="H68" s="43">
        <v>568</v>
      </c>
      <c r="I68" s="43">
        <v>0</v>
      </c>
      <c r="J68" s="43">
        <v>0</v>
      </c>
      <c r="K68" s="43">
        <v>0</v>
      </c>
      <c r="L68" s="42">
        <f t="shared" si="2"/>
        <v>16348</v>
      </c>
      <c r="M68" s="42"/>
    </row>
    <row r="69" spans="1:13" ht="42.75" customHeight="1" x14ac:dyDescent="0.3">
      <c r="A69" s="47" t="s">
        <v>231</v>
      </c>
      <c r="B69" s="46" t="s">
        <v>279</v>
      </c>
      <c r="C69" s="42" t="s">
        <v>229</v>
      </c>
      <c r="D69" s="49"/>
      <c r="E69" s="43">
        <v>0</v>
      </c>
      <c r="F69" s="43">
        <v>350</v>
      </c>
      <c r="G69" s="44">
        <v>12600</v>
      </c>
      <c r="H69" s="43">
        <v>560</v>
      </c>
      <c r="I69" s="43">
        <v>0</v>
      </c>
      <c r="J69" s="43">
        <v>0</v>
      </c>
      <c r="K69" s="43">
        <v>0</v>
      </c>
      <c r="L69" s="42">
        <f t="shared" si="2"/>
        <v>13510</v>
      </c>
      <c r="M69" s="42"/>
    </row>
    <row r="70" spans="1:13" ht="42.75" customHeight="1" x14ac:dyDescent="0.3">
      <c r="A70" s="47" t="s">
        <v>231</v>
      </c>
      <c r="B70" s="46" t="s">
        <v>278</v>
      </c>
      <c r="C70" s="42" t="s">
        <v>229</v>
      </c>
      <c r="D70" s="49"/>
      <c r="E70" s="43">
        <v>0</v>
      </c>
      <c r="F70" s="43">
        <v>0</v>
      </c>
      <c r="G70" s="44">
        <v>2340</v>
      </c>
      <c r="H70" s="43">
        <v>0</v>
      </c>
      <c r="I70" s="43">
        <v>0</v>
      </c>
      <c r="J70" s="43">
        <v>0</v>
      </c>
      <c r="K70" s="43">
        <v>0</v>
      </c>
      <c r="L70" s="42">
        <f t="shared" si="2"/>
        <v>2340</v>
      </c>
      <c r="M70" s="42"/>
    </row>
    <row r="71" spans="1:13" ht="42.75" customHeight="1" x14ac:dyDescent="0.3">
      <c r="A71" s="47" t="s">
        <v>231</v>
      </c>
      <c r="B71" s="46" t="s">
        <v>277</v>
      </c>
      <c r="C71" s="42" t="s">
        <v>229</v>
      </c>
      <c r="D71" s="49"/>
      <c r="E71" s="43">
        <v>10</v>
      </c>
      <c r="F71" s="43">
        <v>16</v>
      </c>
      <c r="G71" s="44">
        <v>360</v>
      </c>
      <c r="H71" s="43">
        <v>14</v>
      </c>
      <c r="I71" s="43">
        <v>6.5</v>
      </c>
      <c r="J71" s="43">
        <v>8</v>
      </c>
      <c r="K71" s="43">
        <v>5</v>
      </c>
      <c r="L71" s="42">
        <f t="shared" si="2"/>
        <v>419.5</v>
      </c>
      <c r="M71" s="42"/>
    </row>
    <row r="72" spans="1:13" ht="42.75" customHeight="1" x14ac:dyDescent="0.3">
      <c r="A72" s="47" t="s">
        <v>231</v>
      </c>
      <c r="B72" s="46" t="s">
        <v>276</v>
      </c>
      <c r="C72" s="42" t="s">
        <v>229</v>
      </c>
      <c r="D72" s="49"/>
      <c r="E72" s="43">
        <v>0</v>
      </c>
      <c r="F72" s="43">
        <v>30</v>
      </c>
      <c r="G72" s="44">
        <v>1080</v>
      </c>
      <c r="H72" s="43">
        <v>24</v>
      </c>
      <c r="I72" s="43">
        <v>0</v>
      </c>
      <c r="J72" s="43">
        <v>0</v>
      </c>
      <c r="K72" s="43">
        <v>0</v>
      </c>
      <c r="L72" s="42">
        <f t="shared" si="2"/>
        <v>1134</v>
      </c>
      <c r="M72" s="42"/>
    </row>
    <row r="73" spans="1:13" ht="42.75" customHeight="1" x14ac:dyDescent="0.3">
      <c r="A73" s="47" t="s">
        <v>231</v>
      </c>
      <c r="B73" s="46" t="s">
        <v>275</v>
      </c>
      <c r="C73" s="42" t="s">
        <v>229</v>
      </c>
      <c r="D73" s="49"/>
      <c r="E73" s="43">
        <v>0</v>
      </c>
      <c r="F73" s="43">
        <v>100</v>
      </c>
      <c r="G73" s="44">
        <v>14400</v>
      </c>
      <c r="H73" s="43">
        <v>1040</v>
      </c>
      <c r="I73" s="43">
        <v>0</v>
      </c>
      <c r="J73" s="43">
        <v>0</v>
      </c>
      <c r="K73" s="43">
        <v>0</v>
      </c>
      <c r="L73" s="42">
        <f t="shared" si="2"/>
        <v>15540</v>
      </c>
      <c r="M73" s="42"/>
    </row>
    <row r="74" spans="1:13" ht="42.75" customHeight="1" x14ac:dyDescent="0.3">
      <c r="A74" s="47" t="s">
        <v>231</v>
      </c>
      <c r="B74" s="46" t="s">
        <v>274</v>
      </c>
      <c r="C74" s="42" t="s">
        <v>229</v>
      </c>
      <c r="D74" s="49"/>
      <c r="E74" s="43">
        <v>0</v>
      </c>
      <c r="F74" s="43">
        <v>0</v>
      </c>
      <c r="G74" s="44">
        <v>10800</v>
      </c>
      <c r="H74" s="43">
        <v>480</v>
      </c>
      <c r="I74" s="43">
        <v>0</v>
      </c>
      <c r="J74" s="43">
        <v>0</v>
      </c>
      <c r="K74" s="43">
        <v>0</v>
      </c>
      <c r="L74" s="42">
        <f t="shared" si="2"/>
        <v>11280</v>
      </c>
      <c r="M74" s="42"/>
    </row>
    <row r="75" spans="1:13" ht="42.75" customHeight="1" x14ac:dyDescent="0.3">
      <c r="A75" s="47" t="s">
        <v>231</v>
      </c>
      <c r="B75" s="46" t="s">
        <v>273</v>
      </c>
      <c r="C75" s="42" t="s">
        <v>229</v>
      </c>
      <c r="D75" s="42"/>
      <c r="E75" s="43">
        <v>0</v>
      </c>
      <c r="F75" s="43">
        <v>50</v>
      </c>
      <c r="G75" s="44">
        <v>1800</v>
      </c>
      <c r="H75" s="43">
        <v>80</v>
      </c>
      <c r="I75" s="43">
        <v>0</v>
      </c>
      <c r="J75" s="43">
        <v>0</v>
      </c>
      <c r="K75" s="43">
        <v>0</v>
      </c>
      <c r="L75" s="42">
        <f t="shared" si="2"/>
        <v>1930</v>
      </c>
      <c r="M75" s="42"/>
    </row>
    <row r="76" spans="1:13" ht="42.75" customHeight="1" x14ac:dyDescent="0.3">
      <c r="A76" s="47" t="s">
        <v>231</v>
      </c>
      <c r="B76" s="46" t="s">
        <v>272</v>
      </c>
      <c r="C76" s="42" t="s">
        <v>229</v>
      </c>
      <c r="D76" s="42"/>
      <c r="E76" s="43">
        <v>0</v>
      </c>
      <c r="F76" s="43">
        <v>40</v>
      </c>
      <c r="G76" s="44">
        <v>720</v>
      </c>
      <c r="H76" s="43">
        <v>32</v>
      </c>
      <c r="I76" s="43">
        <v>0</v>
      </c>
      <c r="J76" s="43">
        <v>0</v>
      </c>
      <c r="K76" s="43">
        <v>0</v>
      </c>
      <c r="L76" s="42">
        <f t="shared" si="2"/>
        <v>792</v>
      </c>
      <c r="M76" s="42"/>
    </row>
    <row r="77" spans="1:13" ht="42.75" customHeight="1" x14ac:dyDescent="0.3">
      <c r="A77" s="47" t="s">
        <v>231</v>
      </c>
      <c r="B77" s="46" t="s">
        <v>271</v>
      </c>
      <c r="C77" s="42" t="s">
        <v>229</v>
      </c>
      <c r="D77" s="42"/>
      <c r="E77" s="43">
        <v>0</v>
      </c>
      <c r="F77" s="43">
        <v>0</v>
      </c>
      <c r="G77" s="44">
        <v>1440</v>
      </c>
      <c r="H77" s="43">
        <v>0</v>
      </c>
      <c r="I77" s="43">
        <v>0</v>
      </c>
      <c r="J77" s="43">
        <v>0</v>
      </c>
      <c r="K77" s="43">
        <v>0</v>
      </c>
      <c r="L77" s="42">
        <f t="shared" si="2"/>
        <v>1440</v>
      </c>
      <c r="M77" s="42"/>
    </row>
    <row r="78" spans="1:13" ht="42.75" customHeight="1" x14ac:dyDescent="0.3">
      <c r="A78" s="47" t="s">
        <v>231</v>
      </c>
      <c r="B78" s="46" t="s">
        <v>270</v>
      </c>
      <c r="C78" s="42" t="s">
        <v>229</v>
      </c>
      <c r="D78" s="49"/>
      <c r="E78" s="43">
        <v>0</v>
      </c>
      <c r="F78" s="43">
        <v>0</v>
      </c>
      <c r="G78" s="44">
        <v>10800</v>
      </c>
      <c r="H78" s="43">
        <v>480</v>
      </c>
      <c r="I78" s="43">
        <v>0</v>
      </c>
      <c r="J78" s="43">
        <v>0</v>
      </c>
      <c r="K78" s="43">
        <v>0</v>
      </c>
      <c r="L78" s="42">
        <f t="shared" si="2"/>
        <v>11280</v>
      </c>
      <c r="M78" s="42"/>
    </row>
    <row r="79" spans="1:13" ht="42.75" customHeight="1" x14ac:dyDescent="0.3">
      <c r="A79" s="47" t="s">
        <v>231</v>
      </c>
      <c r="B79" s="46" t="s">
        <v>269</v>
      </c>
      <c r="C79" s="42" t="s">
        <v>229</v>
      </c>
      <c r="D79" s="49"/>
      <c r="E79" s="43">
        <v>0</v>
      </c>
      <c r="F79" s="43">
        <v>40</v>
      </c>
      <c r="G79" s="44">
        <v>1440</v>
      </c>
      <c r="H79" s="43">
        <v>0</v>
      </c>
      <c r="I79" s="43">
        <v>0</v>
      </c>
      <c r="J79" s="43">
        <v>0</v>
      </c>
      <c r="K79" s="43">
        <v>0</v>
      </c>
      <c r="L79" s="42">
        <f t="shared" si="2"/>
        <v>1480</v>
      </c>
      <c r="M79" s="42"/>
    </row>
    <row r="80" spans="1:13" ht="42.75" customHeight="1" x14ac:dyDescent="0.3">
      <c r="A80" s="47" t="s">
        <v>231</v>
      </c>
      <c r="B80" s="46" t="s">
        <v>268</v>
      </c>
      <c r="C80" s="42" t="s">
        <v>229</v>
      </c>
      <c r="D80" s="49"/>
      <c r="E80" s="43">
        <v>0</v>
      </c>
      <c r="F80" s="43">
        <v>30</v>
      </c>
      <c r="G80" s="44">
        <v>540</v>
      </c>
      <c r="H80" s="43">
        <v>24</v>
      </c>
      <c r="I80" s="43">
        <v>0</v>
      </c>
      <c r="J80" s="43">
        <v>0</v>
      </c>
      <c r="K80" s="43">
        <v>0</v>
      </c>
      <c r="L80" s="42">
        <f t="shared" si="2"/>
        <v>594</v>
      </c>
      <c r="M80" s="42"/>
    </row>
    <row r="81" spans="1:13" ht="42.75" customHeight="1" x14ac:dyDescent="0.3">
      <c r="A81" s="47" t="s">
        <v>231</v>
      </c>
      <c r="B81" s="46" t="s">
        <v>267</v>
      </c>
      <c r="C81" s="42" t="s">
        <v>240</v>
      </c>
      <c r="D81" s="49"/>
      <c r="E81" s="43">
        <v>4</v>
      </c>
      <c r="F81" s="43">
        <v>2</v>
      </c>
      <c r="G81" s="44">
        <v>120</v>
      </c>
      <c r="H81" s="43">
        <v>6</v>
      </c>
      <c r="I81" s="43">
        <v>1</v>
      </c>
      <c r="J81" s="43">
        <v>4</v>
      </c>
      <c r="K81" s="43">
        <v>1</v>
      </c>
      <c r="L81" s="42">
        <f t="shared" si="2"/>
        <v>138</v>
      </c>
      <c r="M81" s="42"/>
    </row>
    <row r="82" spans="1:13" ht="42.75" customHeight="1" x14ac:dyDescent="0.3">
      <c r="A82" s="47" t="s">
        <v>231</v>
      </c>
      <c r="B82" s="46" t="s">
        <v>266</v>
      </c>
      <c r="C82" s="42" t="s">
        <v>229</v>
      </c>
      <c r="D82" s="49"/>
      <c r="E82" s="43">
        <v>0</v>
      </c>
      <c r="F82" s="43">
        <v>80</v>
      </c>
      <c r="G82" s="44">
        <v>2880</v>
      </c>
      <c r="H82" s="43">
        <v>64</v>
      </c>
      <c r="I82" s="43">
        <v>0</v>
      </c>
      <c r="J82" s="43">
        <v>0</v>
      </c>
      <c r="K82" s="43">
        <v>0</v>
      </c>
      <c r="L82" s="42">
        <f t="shared" si="2"/>
        <v>3024</v>
      </c>
      <c r="M82" s="42"/>
    </row>
    <row r="83" spans="1:13" ht="42.75" customHeight="1" x14ac:dyDescent="0.3">
      <c r="A83" s="47" t="s">
        <v>231</v>
      </c>
      <c r="B83" s="46" t="s">
        <v>265</v>
      </c>
      <c r="C83" s="42" t="s">
        <v>229</v>
      </c>
      <c r="D83" s="42"/>
      <c r="E83" s="43">
        <v>0</v>
      </c>
      <c r="F83" s="43">
        <v>60</v>
      </c>
      <c r="G83" s="44">
        <v>1080</v>
      </c>
      <c r="H83" s="43">
        <v>48</v>
      </c>
      <c r="I83" s="43">
        <v>0</v>
      </c>
      <c r="J83" s="43">
        <v>0</v>
      </c>
      <c r="K83" s="43">
        <v>0</v>
      </c>
      <c r="L83" s="42">
        <f t="shared" si="2"/>
        <v>1188</v>
      </c>
      <c r="M83" s="42"/>
    </row>
    <row r="84" spans="1:13" ht="42.75" customHeight="1" x14ac:dyDescent="0.3">
      <c r="A84" s="47" t="s">
        <v>264</v>
      </c>
      <c r="B84" s="46" t="s">
        <v>263</v>
      </c>
      <c r="C84" s="42" t="s">
        <v>229</v>
      </c>
      <c r="D84" s="48" t="s">
        <v>262</v>
      </c>
      <c r="E84" s="43">
        <v>4</v>
      </c>
      <c r="F84" s="43">
        <v>2</v>
      </c>
      <c r="G84" s="44">
        <v>180</v>
      </c>
      <c r="H84" s="43">
        <v>4</v>
      </c>
      <c r="I84" s="43">
        <v>1</v>
      </c>
      <c r="J84" s="43">
        <v>2</v>
      </c>
      <c r="K84" s="43">
        <v>2</v>
      </c>
      <c r="L84" s="42">
        <f t="shared" si="2"/>
        <v>195</v>
      </c>
      <c r="M84" s="42"/>
    </row>
    <row r="85" spans="1:13" ht="42.75" customHeight="1" x14ac:dyDescent="0.3">
      <c r="A85" s="47" t="s">
        <v>231</v>
      </c>
      <c r="B85" s="46" t="s">
        <v>261</v>
      </c>
      <c r="C85" s="42" t="s">
        <v>260</v>
      </c>
      <c r="D85" s="42"/>
      <c r="E85" s="43">
        <v>0</v>
      </c>
      <c r="F85" s="43">
        <v>0</v>
      </c>
      <c r="G85" s="44">
        <v>80.099999999999994</v>
      </c>
      <c r="H85" s="43">
        <v>3.56</v>
      </c>
      <c r="I85" s="43">
        <v>0</v>
      </c>
      <c r="J85" s="43">
        <v>0</v>
      </c>
      <c r="K85" s="43">
        <v>0</v>
      </c>
      <c r="L85" s="42">
        <f t="shared" si="2"/>
        <v>83.66</v>
      </c>
      <c r="M85" s="42"/>
    </row>
    <row r="86" spans="1:13" ht="42.75" customHeight="1" x14ac:dyDescent="0.3">
      <c r="A86" s="47" t="s">
        <v>256</v>
      </c>
      <c r="B86" s="46" t="s">
        <v>259</v>
      </c>
      <c r="C86" s="42" t="s">
        <v>233</v>
      </c>
      <c r="D86" s="45" t="s">
        <v>232</v>
      </c>
      <c r="E86" s="43">
        <v>118.254</v>
      </c>
      <c r="F86" s="43">
        <v>18.96</v>
      </c>
      <c r="G86" s="44">
        <v>341.28</v>
      </c>
      <c r="H86" s="43">
        <v>15.2</v>
      </c>
      <c r="I86" s="43">
        <v>23.154199999999999</v>
      </c>
      <c r="J86" s="43">
        <v>0</v>
      </c>
      <c r="K86" s="43">
        <v>0</v>
      </c>
      <c r="L86" s="42">
        <f t="shared" si="2"/>
        <v>516.84819999999991</v>
      </c>
      <c r="M86" s="42"/>
    </row>
    <row r="87" spans="1:13" ht="42.75" customHeight="1" x14ac:dyDescent="0.3">
      <c r="A87" s="47" t="s">
        <v>256</v>
      </c>
      <c r="B87" s="46" t="s">
        <v>258</v>
      </c>
      <c r="C87" s="42" t="s">
        <v>233</v>
      </c>
      <c r="D87" s="48" t="s">
        <v>232</v>
      </c>
      <c r="E87" s="43">
        <v>0</v>
      </c>
      <c r="F87" s="43">
        <v>45.29</v>
      </c>
      <c r="G87" s="44">
        <v>959.94</v>
      </c>
      <c r="H87" s="43">
        <v>35.863999999999997</v>
      </c>
      <c r="I87" s="43">
        <v>0</v>
      </c>
      <c r="J87" s="43">
        <v>0</v>
      </c>
      <c r="K87" s="43">
        <v>37.806159999999998</v>
      </c>
      <c r="L87" s="42">
        <f t="shared" si="2"/>
        <v>1078.9001600000001</v>
      </c>
      <c r="M87" s="42" t="s">
        <v>257</v>
      </c>
    </row>
    <row r="88" spans="1:13" ht="42.75" customHeight="1" x14ac:dyDescent="0.3">
      <c r="A88" s="47" t="s">
        <v>256</v>
      </c>
      <c r="B88" s="46" t="s">
        <v>255</v>
      </c>
      <c r="C88" s="42" t="s">
        <v>233</v>
      </c>
      <c r="D88" s="48" t="s">
        <v>232</v>
      </c>
      <c r="E88" s="43">
        <v>45.9</v>
      </c>
      <c r="F88" s="43">
        <v>0</v>
      </c>
      <c r="G88" s="44">
        <v>0</v>
      </c>
      <c r="H88" s="43">
        <v>0</v>
      </c>
      <c r="I88" s="43">
        <v>0</v>
      </c>
      <c r="J88" s="43">
        <v>0</v>
      </c>
      <c r="K88" s="43">
        <v>0</v>
      </c>
      <c r="L88" s="42">
        <f t="shared" si="2"/>
        <v>45.9</v>
      </c>
      <c r="M88" s="42"/>
    </row>
    <row r="89" spans="1:13" ht="42.75" customHeight="1" x14ac:dyDescent="0.3">
      <c r="A89" s="47" t="s">
        <v>254</v>
      </c>
      <c r="B89" s="46" t="s">
        <v>253</v>
      </c>
      <c r="C89" s="42" t="s">
        <v>240</v>
      </c>
      <c r="D89" s="48" t="s">
        <v>250</v>
      </c>
      <c r="E89" s="43">
        <v>4</v>
      </c>
      <c r="F89" s="43">
        <v>6</v>
      </c>
      <c r="G89" s="44">
        <v>60</v>
      </c>
      <c r="H89" s="43">
        <v>4</v>
      </c>
      <c r="I89" s="43">
        <v>2</v>
      </c>
      <c r="J89" s="43">
        <v>6</v>
      </c>
      <c r="K89" s="43">
        <v>2</v>
      </c>
      <c r="L89" s="42">
        <f t="shared" si="2"/>
        <v>84</v>
      </c>
      <c r="M89" s="42"/>
    </row>
    <row r="90" spans="1:13" ht="54.75" customHeight="1" x14ac:dyDescent="0.3">
      <c r="A90" s="47" t="s">
        <v>252</v>
      </c>
      <c r="B90" s="46" t="s">
        <v>251</v>
      </c>
      <c r="C90" s="42" t="s">
        <v>240</v>
      </c>
      <c r="D90" s="48" t="s">
        <v>250</v>
      </c>
      <c r="E90" s="43">
        <v>4</v>
      </c>
      <c r="F90" s="43">
        <v>2</v>
      </c>
      <c r="G90" s="44">
        <v>120</v>
      </c>
      <c r="H90" s="43">
        <v>6</v>
      </c>
      <c r="I90" s="43">
        <v>2</v>
      </c>
      <c r="J90" s="43">
        <v>2</v>
      </c>
      <c r="K90" s="43">
        <v>2</v>
      </c>
      <c r="L90" s="42">
        <f t="shared" si="2"/>
        <v>138</v>
      </c>
      <c r="M90" s="42"/>
    </row>
    <row r="91" spans="1:13" ht="42.75" customHeight="1" x14ac:dyDescent="0.3">
      <c r="A91" s="47" t="s">
        <v>231</v>
      </c>
      <c r="B91" s="46" t="s">
        <v>249</v>
      </c>
      <c r="C91" s="42" t="s">
        <v>229</v>
      </c>
      <c r="D91" s="42"/>
      <c r="E91" s="43">
        <v>0</v>
      </c>
      <c r="F91" s="43">
        <v>10</v>
      </c>
      <c r="G91" s="44">
        <v>180</v>
      </c>
      <c r="H91" s="43">
        <v>8</v>
      </c>
      <c r="I91" s="43">
        <v>0</v>
      </c>
      <c r="J91" s="43">
        <v>0</v>
      </c>
      <c r="K91" s="43">
        <v>0</v>
      </c>
      <c r="L91" s="42">
        <f t="shared" si="2"/>
        <v>198</v>
      </c>
      <c r="M91" s="42"/>
    </row>
    <row r="92" spans="1:13" ht="42.75" customHeight="1" x14ac:dyDescent="0.3">
      <c r="A92" s="47" t="s">
        <v>231</v>
      </c>
      <c r="B92" s="46" t="s">
        <v>248</v>
      </c>
      <c r="C92" s="42" t="s">
        <v>229</v>
      </c>
      <c r="D92" s="42"/>
      <c r="E92" s="43">
        <v>10</v>
      </c>
      <c r="F92" s="43">
        <v>5</v>
      </c>
      <c r="G92" s="44">
        <v>180</v>
      </c>
      <c r="H92" s="43">
        <v>8</v>
      </c>
      <c r="I92" s="43">
        <v>4</v>
      </c>
      <c r="J92" s="43">
        <v>0</v>
      </c>
      <c r="K92" s="43">
        <v>0</v>
      </c>
      <c r="L92" s="42">
        <f t="shared" si="2"/>
        <v>207</v>
      </c>
      <c r="M92" s="42"/>
    </row>
    <row r="93" spans="1:13" ht="42.75" customHeight="1" x14ac:dyDescent="0.3">
      <c r="A93" s="47" t="s">
        <v>231</v>
      </c>
      <c r="B93" s="46" t="s">
        <v>247</v>
      </c>
      <c r="C93" s="42" t="s">
        <v>229</v>
      </c>
      <c r="D93" s="42"/>
      <c r="E93" s="43">
        <v>5</v>
      </c>
      <c r="F93" s="43">
        <v>6</v>
      </c>
      <c r="G93" s="44">
        <v>120</v>
      </c>
      <c r="H93" s="43">
        <v>6</v>
      </c>
      <c r="I93" s="43">
        <v>4</v>
      </c>
      <c r="J93" s="43">
        <v>4</v>
      </c>
      <c r="K93" s="43">
        <v>1</v>
      </c>
      <c r="L93" s="42">
        <f t="shared" si="2"/>
        <v>146</v>
      </c>
      <c r="M93" s="42"/>
    </row>
    <row r="94" spans="1:13" ht="42.75" customHeight="1" x14ac:dyDescent="0.3">
      <c r="A94" s="47" t="s">
        <v>231</v>
      </c>
      <c r="B94" s="46" t="s">
        <v>246</v>
      </c>
      <c r="C94" s="42" t="s">
        <v>229</v>
      </c>
      <c r="D94" s="42"/>
      <c r="E94" s="43">
        <v>5</v>
      </c>
      <c r="F94" s="43">
        <v>4</v>
      </c>
      <c r="G94" s="44">
        <v>60</v>
      </c>
      <c r="H94" s="43">
        <v>7</v>
      </c>
      <c r="I94" s="43">
        <v>4.5</v>
      </c>
      <c r="J94" s="43">
        <v>4</v>
      </c>
      <c r="K94" s="43">
        <v>2</v>
      </c>
      <c r="L94" s="42">
        <f t="shared" si="2"/>
        <v>86.5</v>
      </c>
      <c r="M94" s="42" t="s">
        <v>245</v>
      </c>
    </row>
    <row r="95" spans="1:13" ht="42.75" customHeight="1" x14ac:dyDescent="0.3">
      <c r="A95" s="47" t="s">
        <v>231</v>
      </c>
      <c r="B95" s="46" t="s">
        <v>244</v>
      </c>
      <c r="C95" s="42" t="s">
        <v>240</v>
      </c>
      <c r="D95" s="42"/>
      <c r="E95" s="43">
        <v>190</v>
      </c>
      <c r="F95" s="43">
        <v>145</v>
      </c>
      <c r="G95" s="44">
        <v>3060</v>
      </c>
      <c r="H95" s="43">
        <v>136</v>
      </c>
      <c r="I95" s="43">
        <v>138</v>
      </c>
      <c r="J95" s="43">
        <v>0</v>
      </c>
      <c r="K95" s="43">
        <v>0</v>
      </c>
      <c r="L95" s="42">
        <f t="shared" si="2"/>
        <v>3669</v>
      </c>
      <c r="M95" s="42"/>
    </row>
    <row r="96" spans="1:13" ht="42.75" customHeight="1" x14ac:dyDescent="0.3">
      <c r="A96" s="47" t="s">
        <v>231</v>
      </c>
      <c r="B96" s="46" t="s">
        <v>243</v>
      </c>
      <c r="C96" s="42" t="s">
        <v>229</v>
      </c>
      <c r="D96" s="42"/>
      <c r="E96" s="43">
        <v>0.35000000000000003</v>
      </c>
      <c r="F96" s="43">
        <v>0.2</v>
      </c>
      <c r="G96" s="44">
        <v>3.5999999999999996</v>
      </c>
      <c r="H96" s="43">
        <v>0.16</v>
      </c>
      <c r="I96" s="43">
        <v>0.24</v>
      </c>
      <c r="J96" s="43">
        <v>0</v>
      </c>
      <c r="K96" s="43">
        <v>0</v>
      </c>
      <c r="L96" s="42">
        <f t="shared" si="2"/>
        <v>4.55</v>
      </c>
      <c r="M96" s="42"/>
    </row>
    <row r="97" spans="1:13" ht="42.75" customHeight="1" x14ac:dyDescent="0.3">
      <c r="A97" s="47" t="s">
        <v>231</v>
      </c>
      <c r="B97" s="46" t="s">
        <v>242</v>
      </c>
      <c r="C97" s="42" t="s">
        <v>229</v>
      </c>
      <c r="D97" s="42"/>
      <c r="E97" s="43">
        <v>1.5</v>
      </c>
      <c r="F97" s="43">
        <v>0</v>
      </c>
      <c r="G97" s="44">
        <v>0</v>
      </c>
      <c r="H97" s="43">
        <v>0</v>
      </c>
      <c r="I97" s="43">
        <v>0.4</v>
      </c>
      <c r="J97" s="43">
        <v>0</v>
      </c>
      <c r="K97" s="43">
        <v>0</v>
      </c>
      <c r="L97" s="42">
        <f t="shared" si="2"/>
        <v>1.9</v>
      </c>
      <c r="M97" s="42"/>
    </row>
    <row r="98" spans="1:13" ht="42.75" customHeight="1" x14ac:dyDescent="0.3">
      <c r="A98" s="47" t="s">
        <v>231</v>
      </c>
      <c r="B98" s="46" t="s">
        <v>241</v>
      </c>
      <c r="C98" s="42" t="s">
        <v>240</v>
      </c>
      <c r="D98" s="42"/>
      <c r="E98" s="43">
        <v>0</v>
      </c>
      <c r="F98" s="43">
        <v>40</v>
      </c>
      <c r="G98" s="44">
        <v>1440</v>
      </c>
      <c r="H98" s="43">
        <v>64</v>
      </c>
      <c r="I98" s="43">
        <v>0</v>
      </c>
      <c r="J98" s="43">
        <v>0</v>
      </c>
      <c r="K98" s="43">
        <v>0</v>
      </c>
      <c r="L98" s="42">
        <f t="shared" ref="L98:L105" si="3">SUM(E98:K98)</f>
        <v>1544</v>
      </c>
      <c r="M98" s="42"/>
    </row>
    <row r="99" spans="1:13" ht="42.75" customHeight="1" x14ac:dyDescent="0.3">
      <c r="A99" s="47" t="s">
        <v>231</v>
      </c>
      <c r="B99" s="46" t="s">
        <v>239</v>
      </c>
      <c r="C99" s="42" t="s">
        <v>229</v>
      </c>
      <c r="D99" s="42"/>
      <c r="E99" s="43">
        <v>0</v>
      </c>
      <c r="F99" s="43">
        <v>0.5</v>
      </c>
      <c r="G99" s="44">
        <v>18.000000000000004</v>
      </c>
      <c r="H99" s="43">
        <v>0.8</v>
      </c>
      <c r="I99" s="43">
        <v>0</v>
      </c>
      <c r="J99" s="43">
        <v>0</v>
      </c>
      <c r="K99" s="43">
        <v>0</v>
      </c>
      <c r="L99" s="42">
        <f t="shared" si="3"/>
        <v>19.300000000000004</v>
      </c>
      <c r="M99" s="42"/>
    </row>
    <row r="100" spans="1:13" ht="42.75" customHeight="1" x14ac:dyDescent="0.3">
      <c r="A100" s="47" t="s">
        <v>231</v>
      </c>
      <c r="B100" s="46" t="s">
        <v>238</v>
      </c>
      <c r="C100" s="42" t="s">
        <v>229</v>
      </c>
      <c r="D100" s="42"/>
      <c r="E100" s="43">
        <v>900</v>
      </c>
      <c r="F100" s="43">
        <v>600</v>
      </c>
      <c r="G100" s="44">
        <v>10800</v>
      </c>
      <c r="H100" s="43">
        <v>480</v>
      </c>
      <c r="I100" s="43">
        <v>240</v>
      </c>
      <c r="J100" s="43">
        <v>0</v>
      </c>
      <c r="K100" s="43">
        <v>0</v>
      </c>
      <c r="L100" s="42">
        <f t="shared" si="3"/>
        <v>13020</v>
      </c>
      <c r="M100" s="42"/>
    </row>
    <row r="101" spans="1:13" ht="42.75" customHeight="1" x14ac:dyDescent="0.3">
      <c r="A101" s="47" t="s">
        <v>235</v>
      </c>
      <c r="B101" s="46" t="s">
        <v>237</v>
      </c>
      <c r="C101" s="42" t="s">
        <v>233</v>
      </c>
      <c r="D101" s="45" t="s">
        <v>232</v>
      </c>
      <c r="E101" s="43">
        <v>0</v>
      </c>
      <c r="F101" s="43">
        <v>23.085000000000001</v>
      </c>
      <c r="G101" s="44">
        <v>239.4</v>
      </c>
      <c r="H101" s="43">
        <v>18.28</v>
      </c>
      <c r="I101" s="43">
        <v>0</v>
      </c>
      <c r="J101" s="43">
        <v>0</v>
      </c>
      <c r="K101" s="43">
        <v>18.353999999999999</v>
      </c>
      <c r="L101" s="42">
        <f t="shared" si="3"/>
        <v>299.11899999999997</v>
      </c>
      <c r="M101" s="42" t="s">
        <v>236</v>
      </c>
    </row>
    <row r="102" spans="1:13" ht="42.75" customHeight="1" x14ac:dyDescent="0.3">
      <c r="A102" s="47" t="s">
        <v>235</v>
      </c>
      <c r="B102" s="46" t="s">
        <v>234</v>
      </c>
      <c r="C102" s="42" t="s">
        <v>233</v>
      </c>
      <c r="D102" s="45" t="s">
        <v>232</v>
      </c>
      <c r="E102" s="43">
        <v>45.902000000000001</v>
      </c>
      <c r="F102" s="43">
        <v>33.119999999999997</v>
      </c>
      <c r="G102" s="44">
        <v>0</v>
      </c>
      <c r="H102" s="43">
        <v>26.312000000000001</v>
      </c>
      <c r="I102" s="43">
        <v>11.58</v>
      </c>
      <c r="J102" s="43">
        <v>0</v>
      </c>
      <c r="K102" s="43">
        <v>0</v>
      </c>
      <c r="L102" s="42">
        <f t="shared" si="3"/>
        <v>116.91399999999999</v>
      </c>
      <c r="M102" s="42"/>
    </row>
    <row r="103" spans="1:13" ht="42.75" customHeight="1" x14ac:dyDescent="0.3">
      <c r="A103" s="47" t="s">
        <v>231</v>
      </c>
      <c r="B103" s="46" t="s">
        <v>230</v>
      </c>
      <c r="C103" s="42" t="s">
        <v>229</v>
      </c>
      <c r="D103" s="42"/>
      <c r="E103" s="43">
        <v>50</v>
      </c>
      <c r="F103" s="43">
        <v>10</v>
      </c>
      <c r="G103" s="44">
        <v>1200</v>
      </c>
      <c r="H103" s="43">
        <v>20</v>
      </c>
      <c r="I103" s="43">
        <v>10</v>
      </c>
      <c r="J103" s="43">
        <v>40</v>
      </c>
      <c r="K103" s="43">
        <v>10</v>
      </c>
      <c r="L103" s="42">
        <f t="shared" si="3"/>
        <v>1340</v>
      </c>
      <c r="M103" s="42" t="s">
        <v>228</v>
      </c>
    </row>
    <row r="104" spans="1:13" ht="50.4" x14ac:dyDescent="0.3">
      <c r="A104" s="47" t="s">
        <v>226</v>
      </c>
      <c r="B104" s="46" t="s">
        <v>227</v>
      </c>
      <c r="C104" s="42" t="s">
        <v>224</v>
      </c>
      <c r="D104" s="45" t="s">
        <v>223</v>
      </c>
      <c r="E104" s="43">
        <v>0</v>
      </c>
      <c r="F104" s="43">
        <v>0</v>
      </c>
      <c r="G104" s="44">
        <v>360</v>
      </c>
      <c r="H104" s="43">
        <v>0</v>
      </c>
      <c r="I104" s="43">
        <v>0</v>
      </c>
      <c r="J104" s="43">
        <v>0</v>
      </c>
      <c r="K104" s="43">
        <v>0</v>
      </c>
      <c r="L104" s="42">
        <f t="shared" si="3"/>
        <v>360</v>
      </c>
      <c r="M104" s="42"/>
    </row>
    <row r="105" spans="1:13" ht="50.4" x14ac:dyDescent="0.3">
      <c r="A105" s="47" t="s">
        <v>226</v>
      </c>
      <c r="B105" s="46" t="s">
        <v>225</v>
      </c>
      <c r="C105" s="42" t="s">
        <v>224</v>
      </c>
      <c r="D105" s="45" t="s">
        <v>223</v>
      </c>
      <c r="E105" s="43">
        <v>0</v>
      </c>
      <c r="F105" s="43">
        <v>20</v>
      </c>
      <c r="G105" s="44">
        <v>360</v>
      </c>
      <c r="H105" s="43">
        <v>16</v>
      </c>
      <c r="I105" s="43">
        <v>0</v>
      </c>
      <c r="J105" s="43">
        <v>0</v>
      </c>
      <c r="K105" s="43">
        <v>0</v>
      </c>
      <c r="L105" s="42">
        <f t="shared" si="3"/>
        <v>396</v>
      </c>
      <c r="M105" s="42"/>
    </row>
  </sheetData>
  <autoFilter ref="A1:N2" xr:uid="{0F6FDB27-0AEA-4095-BC24-252C2ED66CCF}"/>
  <mergeCells count="3">
    <mergeCell ref="B1:B2"/>
    <mergeCell ref="C1:C2"/>
    <mergeCell ref="D1:D2"/>
  </mergeCells>
  <conditionalFormatting sqref="A1">
    <cfRule type="duplicateValues" dxfId="37" priority="1"/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D0D12-31CA-45E8-9646-FF4EAB996CB2}">
  <dimension ref="A1:H35"/>
  <sheetViews>
    <sheetView topLeftCell="B14" zoomScaleNormal="100" workbookViewId="0">
      <selection activeCell="G2" sqref="G2"/>
    </sheetView>
  </sheetViews>
  <sheetFormatPr defaultRowHeight="14.4" x14ac:dyDescent="0.3"/>
  <cols>
    <col min="1" max="1" width="72.6640625" bestFit="1" customWidth="1"/>
    <col min="2" max="2" width="43.6640625" bestFit="1" customWidth="1"/>
    <col min="6" max="6" width="22.21875" bestFit="1" customWidth="1"/>
    <col min="7" max="7" width="23.109375" bestFit="1" customWidth="1"/>
  </cols>
  <sheetData>
    <row r="1" spans="1:8" x14ac:dyDescent="0.3">
      <c r="A1" s="37" t="s">
        <v>387</v>
      </c>
      <c r="B1" s="37" t="s">
        <v>383</v>
      </c>
      <c r="C1" s="153" t="s">
        <v>385</v>
      </c>
      <c r="D1" s="153"/>
      <c r="E1" s="153"/>
      <c r="F1" s="153"/>
      <c r="G1" s="153"/>
      <c r="H1" s="2"/>
    </row>
    <row r="2" spans="1:8" x14ac:dyDescent="0.3">
      <c r="A2" s="2" t="s">
        <v>326</v>
      </c>
      <c r="B2" s="2" t="s">
        <v>384</v>
      </c>
      <c r="C2" s="2" t="s">
        <v>392</v>
      </c>
      <c r="D2" s="2" t="s">
        <v>393</v>
      </c>
      <c r="E2" s="2" t="s">
        <v>394</v>
      </c>
      <c r="F2" s="2" t="s">
        <v>396</v>
      </c>
      <c r="G2" s="2" t="s">
        <v>395</v>
      </c>
      <c r="H2" s="2" t="s">
        <v>386</v>
      </c>
    </row>
    <row r="3" spans="1:8" x14ac:dyDescent="0.3">
      <c r="A3" s="2" t="s">
        <v>231</v>
      </c>
      <c r="B3" s="2" t="s">
        <v>389</v>
      </c>
      <c r="C3" s="2">
        <v>8</v>
      </c>
      <c r="D3" s="2">
        <v>9</v>
      </c>
      <c r="E3" s="2">
        <v>8</v>
      </c>
      <c r="F3" s="2">
        <v>9</v>
      </c>
      <c r="G3" s="2">
        <v>9</v>
      </c>
      <c r="H3" s="37">
        <f>AVERAGE(C3:G3)</f>
        <v>8.6</v>
      </c>
    </row>
    <row r="4" spans="1:8" x14ac:dyDescent="0.3">
      <c r="A4" s="2"/>
      <c r="B4" s="2" t="s">
        <v>391</v>
      </c>
      <c r="C4" s="2">
        <v>7</v>
      </c>
      <c r="D4" s="2">
        <v>7.5</v>
      </c>
      <c r="E4" s="2">
        <v>7</v>
      </c>
      <c r="F4" s="2">
        <v>7.5</v>
      </c>
      <c r="G4" s="2">
        <v>8</v>
      </c>
      <c r="H4" s="2">
        <f>AVERAGE(C4:G4)</f>
        <v>7.4</v>
      </c>
    </row>
    <row r="5" spans="1:8" x14ac:dyDescent="0.3">
      <c r="A5" s="2"/>
      <c r="B5" s="2" t="s">
        <v>410</v>
      </c>
      <c r="C5" s="2">
        <v>7.5</v>
      </c>
      <c r="D5" s="2">
        <v>8</v>
      </c>
      <c r="E5" s="2">
        <v>7.5</v>
      </c>
      <c r="F5" s="2">
        <v>8</v>
      </c>
      <c r="G5" s="2">
        <v>8</v>
      </c>
      <c r="H5" s="2">
        <f>AVERAGE(C5:G5)</f>
        <v>7.8</v>
      </c>
    </row>
    <row r="6" spans="1:8" x14ac:dyDescent="0.3">
      <c r="A6" s="2"/>
      <c r="B6" s="2" t="s">
        <v>411</v>
      </c>
      <c r="C6" s="2">
        <v>7.5</v>
      </c>
      <c r="D6" s="2">
        <v>7.5</v>
      </c>
      <c r="E6" s="2">
        <v>7.5</v>
      </c>
      <c r="F6" s="2">
        <v>8</v>
      </c>
      <c r="G6" s="2">
        <v>8</v>
      </c>
      <c r="H6" s="2">
        <f>AVERAGE(C6:G6)</f>
        <v>7.7</v>
      </c>
    </row>
    <row r="7" spans="1:8" x14ac:dyDescent="0.3">
      <c r="A7" s="2"/>
      <c r="B7" s="2" t="s">
        <v>412</v>
      </c>
      <c r="C7" s="2">
        <v>7.5</v>
      </c>
      <c r="D7" s="2">
        <v>8</v>
      </c>
      <c r="E7" s="2">
        <v>8</v>
      </c>
      <c r="F7" s="2">
        <v>8.5</v>
      </c>
      <c r="G7" s="2">
        <v>8.5</v>
      </c>
      <c r="H7" s="2">
        <f>AVERAGE(C7:G7)</f>
        <v>8.1</v>
      </c>
    </row>
    <row r="8" spans="1:8" x14ac:dyDescent="0.3">
      <c r="A8" s="37" t="s">
        <v>258</v>
      </c>
      <c r="B8" s="2" t="s">
        <v>383</v>
      </c>
      <c r="C8" s="153" t="s">
        <v>385</v>
      </c>
      <c r="D8" s="153"/>
      <c r="E8" s="153"/>
      <c r="F8" s="153"/>
      <c r="G8" s="153"/>
      <c r="H8" s="2"/>
    </row>
    <row r="9" spans="1:8" x14ac:dyDescent="0.3">
      <c r="A9" s="2" t="s">
        <v>390</v>
      </c>
      <c r="B9" s="2" t="s">
        <v>384</v>
      </c>
      <c r="C9" s="2" t="s">
        <v>392</v>
      </c>
      <c r="D9" s="2" t="s">
        <v>393</v>
      </c>
      <c r="E9" s="2" t="s">
        <v>394</v>
      </c>
      <c r="F9" s="2" t="s">
        <v>396</v>
      </c>
      <c r="G9" s="2" t="s">
        <v>395</v>
      </c>
      <c r="H9" s="2" t="s">
        <v>386</v>
      </c>
    </row>
    <row r="10" spans="1:8" x14ac:dyDescent="0.3">
      <c r="A10" s="2"/>
      <c r="B10" s="2" t="s">
        <v>397</v>
      </c>
      <c r="C10" s="2">
        <v>8.5</v>
      </c>
      <c r="D10" s="2">
        <v>9.5</v>
      </c>
      <c r="E10" s="2">
        <v>9</v>
      </c>
      <c r="F10" s="2">
        <v>9</v>
      </c>
      <c r="G10" s="2">
        <v>9.5</v>
      </c>
      <c r="H10" s="37">
        <f>AVERAGE(C10:G10)</f>
        <v>9.1</v>
      </c>
    </row>
    <row r="11" spans="1:8" x14ac:dyDescent="0.3">
      <c r="A11" s="2"/>
      <c r="B11" s="2" t="s">
        <v>398</v>
      </c>
      <c r="C11" s="2">
        <v>8</v>
      </c>
      <c r="D11" s="2">
        <v>8.5</v>
      </c>
      <c r="E11" s="2">
        <v>8</v>
      </c>
      <c r="F11" s="2">
        <v>8.5</v>
      </c>
      <c r="G11" s="2">
        <v>8.5</v>
      </c>
      <c r="H11" s="2">
        <f>AVERAGE(C11:G11)</f>
        <v>8.3000000000000007</v>
      </c>
    </row>
    <row r="12" spans="1:8" x14ac:dyDescent="0.3">
      <c r="A12" s="2"/>
      <c r="B12" t="s">
        <v>399</v>
      </c>
      <c r="C12" s="2">
        <v>8</v>
      </c>
      <c r="D12" s="2">
        <v>9</v>
      </c>
      <c r="E12" s="2">
        <v>9.5</v>
      </c>
      <c r="F12" s="2">
        <v>8</v>
      </c>
      <c r="G12" s="2">
        <v>8.5</v>
      </c>
      <c r="H12" s="2">
        <f>AVERAGE(C12:G12)</f>
        <v>8.6</v>
      </c>
    </row>
    <row r="13" spans="1:8" x14ac:dyDescent="0.3">
      <c r="A13" s="2"/>
      <c r="B13" t="s">
        <v>401</v>
      </c>
      <c r="C13" s="2">
        <v>7.5</v>
      </c>
      <c r="D13" s="2">
        <v>7.5</v>
      </c>
      <c r="E13" s="2">
        <v>7</v>
      </c>
      <c r="F13" s="2">
        <v>7</v>
      </c>
      <c r="G13" s="2">
        <v>7.5</v>
      </c>
      <c r="H13" s="2">
        <f>AVERAGE(C13:G13)</f>
        <v>7.3</v>
      </c>
    </row>
    <row r="14" spans="1:8" x14ac:dyDescent="0.3">
      <c r="A14" s="2"/>
      <c r="B14" s="2"/>
      <c r="C14" s="2"/>
      <c r="D14" s="2"/>
      <c r="E14" s="2"/>
      <c r="F14" s="2"/>
      <c r="G14" s="2"/>
      <c r="H14" s="2"/>
    </row>
    <row r="15" spans="1:8" x14ac:dyDescent="0.3">
      <c r="A15" s="37" t="s">
        <v>246</v>
      </c>
      <c r="B15" s="2" t="s">
        <v>383</v>
      </c>
      <c r="C15" s="153" t="s">
        <v>385</v>
      </c>
      <c r="D15" s="153"/>
      <c r="E15" s="153"/>
      <c r="F15" s="153"/>
      <c r="G15" s="153"/>
      <c r="H15" s="2"/>
    </row>
    <row r="16" spans="1:8" x14ac:dyDescent="0.3">
      <c r="A16" s="2" t="s">
        <v>231</v>
      </c>
      <c r="B16" s="2" t="s">
        <v>384</v>
      </c>
      <c r="C16" s="2" t="s">
        <v>392</v>
      </c>
      <c r="D16" s="2" t="s">
        <v>393</v>
      </c>
      <c r="E16" s="2" t="s">
        <v>394</v>
      </c>
      <c r="F16" s="2" t="s">
        <v>396</v>
      </c>
      <c r="G16" s="2" t="s">
        <v>395</v>
      </c>
      <c r="H16" s="2" t="s">
        <v>386</v>
      </c>
    </row>
    <row r="17" spans="1:8" x14ac:dyDescent="0.3">
      <c r="A17" s="2"/>
      <c r="B17" s="2" t="s">
        <v>388</v>
      </c>
      <c r="C17" s="2">
        <v>7.5</v>
      </c>
      <c r="D17" s="2">
        <v>7</v>
      </c>
      <c r="E17" s="2">
        <v>7.5</v>
      </c>
      <c r="F17" s="2">
        <v>7</v>
      </c>
      <c r="G17" s="2">
        <v>7</v>
      </c>
      <c r="H17" s="2">
        <f>AVERAGE(C17:G17)</f>
        <v>7.2</v>
      </c>
    </row>
    <row r="18" spans="1:8" x14ac:dyDescent="0.3">
      <c r="A18" s="2"/>
      <c r="B18" s="2" t="s">
        <v>402</v>
      </c>
      <c r="C18" s="2">
        <v>8.5</v>
      </c>
      <c r="D18" s="2">
        <v>8</v>
      </c>
      <c r="E18" s="2">
        <v>8.5</v>
      </c>
      <c r="F18" s="2">
        <v>8</v>
      </c>
      <c r="G18" s="2">
        <v>8</v>
      </c>
      <c r="H18" s="37">
        <f>AVERAGE(C18:G18)</f>
        <v>8.1999999999999993</v>
      </c>
    </row>
    <row r="19" spans="1:8" x14ac:dyDescent="0.3">
      <c r="A19" s="2"/>
      <c r="B19" s="2" t="s">
        <v>403</v>
      </c>
      <c r="C19" s="2">
        <v>8</v>
      </c>
      <c r="D19" s="2">
        <v>7.5</v>
      </c>
      <c r="E19" s="2">
        <v>7.5</v>
      </c>
      <c r="F19" s="2">
        <v>7.5</v>
      </c>
      <c r="G19" s="2">
        <v>7.5</v>
      </c>
      <c r="H19" s="2">
        <f>AVERAGE(C19:G19)</f>
        <v>7.6</v>
      </c>
    </row>
    <row r="20" spans="1:8" x14ac:dyDescent="0.3">
      <c r="A20" s="2"/>
      <c r="B20" s="2" t="s">
        <v>413</v>
      </c>
      <c r="C20" s="2">
        <v>7.5</v>
      </c>
      <c r="D20" s="2">
        <v>8</v>
      </c>
      <c r="E20" s="2">
        <v>7</v>
      </c>
      <c r="F20" s="2">
        <v>8.5</v>
      </c>
      <c r="G20" s="2">
        <v>7.5</v>
      </c>
      <c r="H20" s="2">
        <f>AVERAGE(C20:G20)</f>
        <v>7.7</v>
      </c>
    </row>
    <row r="21" spans="1:8" x14ac:dyDescent="0.3">
      <c r="A21" s="2"/>
      <c r="B21" s="2"/>
      <c r="C21" s="2"/>
      <c r="D21" s="2"/>
      <c r="E21" s="2"/>
      <c r="F21" s="2"/>
      <c r="G21" s="2"/>
      <c r="H21" s="2"/>
    </row>
    <row r="22" spans="1:8" x14ac:dyDescent="0.3">
      <c r="A22" s="37" t="s">
        <v>237</v>
      </c>
      <c r="B22" s="2" t="s">
        <v>383</v>
      </c>
      <c r="C22" s="153" t="s">
        <v>385</v>
      </c>
      <c r="D22" s="153"/>
      <c r="E22" s="153"/>
      <c r="F22" s="153"/>
      <c r="G22" s="153"/>
      <c r="H22" s="2"/>
    </row>
    <row r="23" spans="1:8" x14ac:dyDescent="0.3">
      <c r="A23" s="2" t="s">
        <v>390</v>
      </c>
      <c r="B23" s="2" t="s">
        <v>384</v>
      </c>
      <c r="C23" s="2" t="s">
        <v>392</v>
      </c>
      <c r="D23" s="2" t="s">
        <v>393</v>
      </c>
      <c r="E23" s="2" t="s">
        <v>394</v>
      </c>
      <c r="F23" s="2" t="s">
        <v>396</v>
      </c>
      <c r="G23" s="2" t="s">
        <v>395</v>
      </c>
      <c r="H23" s="2" t="s">
        <v>386</v>
      </c>
    </row>
    <row r="24" spans="1:8" x14ac:dyDescent="0.3">
      <c r="A24" s="2"/>
      <c r="B24" s="2" t="s">
        <v>388</v>
      </c>
      <c r="C24" s="2">
        <v>8</v>
      </c>
      <c r="D24" s="2">
        <v>7</v>
      </c>
      <c r="E24" s="2">
        <v>9</v>
      </c>
      <c r="F24" s="2">
        <v>7</v>
      </c>
      <c r="G24" s="2">
        <v>8</v>
      </c>
      <c r="H24" s="2">
        <f>AVERAGE(D24:G24)</f>
        <v>7.75</v>
      </c>
    </row>
    <row r="25" spans="1:8" x14ac:dyDescent="0.3">
      <c r="A25" s="2"/>
      <c r="B25" s="2" t="s">
        <v>400</v>
      </c>
      <c r="C25" s="2">
        <v>7</v>
      </c>
      <c r="D25" s="2">
        <v>9</v>
      </c>
      <c r="E25" s="2">
        <v>8</v>
      </c>
      <c r="F25" s="2">
        <v>8</v>
      </c>
      <c r="G25" s="2">
        <v>9</v>
      </c>
      <c r="H25" s="37">
        <f>AVERAGE(D25:G25)</f>
        <v>8.5</v>
      </c>
    </row>
    <row r="26" spans="1:8" x14ac:dyDescent="0.3">
      <c r="A26" s="2"/>
      <c r="B26" s="2" t="s">
        <v>404</v>
      </c>
      <c r="C26" s="2">
        <v>6</v>
      </c>
      <c r="D26" s="2">
        <v>8</v>
      </c>
      <c r="E26" s="2">
        <v>7</v>
      </c>
      <c r="F26" s="2">
        <v>6</v>
      </c>
      <c r="G26" s="2">
        <v>7</v>
      </c>
      <c r="H26" s="2">
        <f>AVERAGE(D26:G26)</f>
        <v>7</v>
      </c>
    </row>
    <row r="27" spans="1:8" x14ac:dyDescent="0.3">
      <c r="A27" s="2"/>
      <c r="B27" s="2" t="s">
        <v>405</v>
      </c>
      <c r="C27" s="2">
        <v>7</v>
      </c>
      <c r="D27" s="2">
        <v>8</v>
      </c>
      <c r="E27" s="2">
        <v>8</v>
      </c>
      <c r="F27" s="2">
        <v>9</v>
      </c>
      <c r="G27" s="2">
        <v>8</v>
      </c>
      <c r="H27" s="2">
        <f>AVERAGE(D27:G27)</f>
        <v>8.25</v>
      </c>
    </row>
    <row r="28" spans="1:8" x14ac:dyDescent="0.3">
      <c r="A28" s="2"/>
      <c r="B28" s="2"/>
      <c r="C28" s="2"/>
      <c r="D28" s="2"/>
      <c r="E28" s="2"/>
      <c r="F28" s="2"/>
      <c r="G28" s="2"/>
      <c r="H28" s="2"/>
    </row>
    <row r="29" spans="1:8" x14ac:dyDescent="0.3">
      <c r="A29" s="37" t="s">
        <v>230</v>
      </c>
      <c r="B29" s="2" t="s">
        <v>383</v>
      </c>
      <c r="C29" s="153" t="s">
        <v>385</v>
      </c>
      <c r="D29" s="153"/>
      <c r="E29" s="153"/>
      <c r="F29" s="153"/>
      <c r="G29" s="153"/>
      <c r="H29" s="2"/>
    </row>
    <row r="30" spans="1:8" x14ac:dyDescent="0.3">
      <c r="A30" s="2" t="s">
        <v>231</v>
      </c>
      <c r="B30" t="s">
        <v>384</v>
      </c>
      <c r="C30" s="2" t="s">
        <v>392</v>
      </c>
      <c r="D30" s="2" t="s">
        <v>393</v>
      </c>
      <c r="E30" s="2" t="s">
        <v>394</v>
      </c>
      <c r="F30" s="2" t="s">
        <v>396</v>
      </c>
      <c r="G30" s="2" t="s">
        <v>395</v>
      </c>
      <c r="H30" s="2" t="s">
        <v>386</v>
      </c>
    </row>
    <row r="31" spans="1:8" x14ac:dyDescent="0.3">
      <c r="A31" s="2"/>
      <c r="B31" s="2" t="s">
        <v>406</v>
      </c>
      <c r="C31" s="2">
        <v>8</v>
      </c>
      <c r="D31" s="2">
        <v>9</v>
      </c>
      <c r="E31" s="2">
        <v>8.5</v>
      </c>
      <c r="F31" s="2">
        <v>9.5</v>
      </c>
      <c r="G31" s="2">
        <v>8.5</v>
      </c>
      <c r="H31" s="37">
        <f>AVERAGE(C31:G31)</f>
        <v>8.6999999999999993</v>
      </c>
    </row>
    <row r="32" spans="1:8" x14ac:dyDescent="0.3">
      <c r="A32" s="2"/>
      <c r="B32" s="72" t="s">
        <v>407</v>
      </c>
      <c r="C32" s="2">
        <v>8</v>
      </c>
      <c r="D32" s="2">
        <v>8.5</v>
      </c>
      <c r="E32" s="2">
        <v>8</v>
      </c>
      <c r="F32" s="2">
        <v>8</v>
      </c>
      <c r="G32" s="2">
        <v>8.5</v>
      </c>
      <c r="H32" s="2">
        <f>AVERAGE(C32:G32)</f>
        <v>8.1999999999999993</v>
      </c>
    </row>
    <row r="33" spans="1:8" x14ac:dyDescent="0.3">
      <c r="A33" s="2"/>
      <c r="B33" s="2" t="s">
        <v>408</v>
      </c>
      <c r="C33" s="2">
        <v>7.5</v>
      </c>
      <c r="D33" s="2">
        <v>7</v>
      </c>
      <c r="E33" s="2">
        <v>7.5</v>
      </c>
      <c r="F33" s="2">
        <v>7</v>
      </c>
      <c r="G33" s="2">
        <v>7</v>
      </c>
      <c r="H33" s="2">
        <f>AVERAGE(C33:G33)</f>
        <v>7.2</v>
      </c>
    </row>
    <row r="34" spans="1:8" x14ac:dyDescent="0.3">
      <c r="A34" s="2"/>
      <c r="B34" t="s">
        <v>409</v>
      </c>
      <c r="C34" s="2">
        <v>7</v>
      </c>
      <c r="D34" s="2">
        <v>7</v>
      </c>
      <c r="E34" s="2">
        <v>7.5</v>
      </c>
      <c r="F34" s="2">
        <v>7</v>
      </c>
      <c r="G34" s="2">
        <v>7</v>
      </c>
      <c r="H34" s="2">
        <f>AVERAGE(C34:G34)</f>
        <v>7.1</v>
      </c>
    </row>
    <row r="35" spans="1:8" x14ac:dyDescent="0.3">
      <c r="A35" s="2"/>
      <c r="B35" s="2"/>
      <c r="C35" s="2"/>
      <c r="D35" s="2"/>
      <c r="E35" s="2"/>
      <c r="F35" s="2"/>
      <c r="G35" s="2"/>
      <c r="H35" s="2"/>
    </row>
  </sheetData>
  <mergeCells count="5">
    <mergeCell ref="C1:G1"/>
    <mergeCell ref="C8:G8"/>
    <mergeCell ref="C15:G15"/>
    <mergeCell ref="C22:G22"/>
    <mergeCell ref="C29:G2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A61C5-9594-4512-A4E0-30785DD6587D}">
  <dimension ref="A1:T105"/>
  <sheetViews>
    <sheetView zoomScale="70" zoomScaleNormal="70" workbookViewId="0">
      <pane xSplit="1" ySplit="3" topLeftCell="M4" activePane="bottomRight" state="frozen"/>
      <selection pane="topRight" activeCell="B1" sqref="B1"/>
      <selection pane="bottomLeft" activeCell="A5" sqref="A5"/>
      <selection pane="bottomRight" activeCell="R5" sqref="R5"/>
    </sheetView>
  </sheetViews>
  <sheetFormatPr defaultColWidth="8.77734375" defaultRowHeight="15.6" x14ac:dyDescent="0.3"/>
  <cols>
    <col min="1" max="1" width="26" style="41" customWidth="1"/>
    <col min="2" max="2" width="77.77734375" customWidth="1"/>
    <col min="3" max="4" width="26.77734375" customWidth="1"/>
    <col min="5" max="5" width="26.33203125" customWidth="1"/>
    <col min="6" max="17" width="26.77734375" customWidth="1"/>
    <col min="18" max="18" width="12.44140625" customWidth="1"/>
    <col min="19" max="19" width="65.109375" bestFit="1" customWidth="1"/>
    <col min="20" max="20" width="36.44140625" style="39" customWidth="1"/>
  </cols>
  <sheetData>
    <row r="1" spans="1:20" ht="33.6" x14ac:dyDescent="0.3">
      <c r="A1" s="54"/>
      <c r="B1" s="152" t="s">
        <v>365</v>
      </c>
      <c r="C1" s="152" t="s">
        <v>364</v>
      </c>
      <c r="D1" s="152" t="s">
        <v>363</v>
      </c>
      <c r="E1" s="60" t="s">
        <v>370</v>
      </c>
      <c r="F1" s="60" t="s">
        <v>371</v>
      </c>
      <c r="G1" s="60" t="s">
        <v>372</v>
      </c>
      <c r="H1" s="62" t="s">
        <v>373</v>
      </c>
      <c r="I1" s="64" t="s">
        <v>374</v>
      </c>
      <c r="J1" s="66" t="s">
        <v>375</v>
      </c>
      <c r="K1" s="66" t="s">
        <v>376</v>
      </c>
      <c r="L1" s="66" t="s">
        <v>377</v>
      </c>
      <c r="M1" s="68" t="s">
        <v>378</v>
      </c>
      <c r="N1" s="57" t="s">
        <v>379</v>
      </c>
      <c r="O1" s="70" t="s">
        <v>380</v>
      </c>
      <c r="P1" s="70" t="s">
        <v>381</v>
      </c>
      <c r="Q1" s="70" t="s">
        <v>382</v>
      </c>
      <c r="R1" s="57" t="s">
        <v>355</v>
      </c>
      <c r="S1" s="57"/>
      <c r="T1" s="56" t="s">
        <v>354</v>
      </c>
    </row>
    <row r="2" spans="1:20" ht="107.25" customHeight="1" x14ac:dyDescent="0.3">
      <c r="A2" s="55" t="s">
        <v>353</v>
      </c>
      <c r="B2" s="152"/>
      <c r="C2" s="152"/>
      <c r="D2" s="152"/>
      <c r="E2" s="61">
        <v>30</v>
      </c>
      <c r="F2" s="61">
        <v>30</v>
      </c>
      <c r="G2" s="61">
        <v>30</v>
      </c>
      <c r="H2" s="63">
        <v>700</v>
      </c>
      <c r="I2" s="65">
        <v>1</v>
      </c>
      <c r="J2" s="67">
        <v>141</v>
      </c>
      <c r="K2" s="67">
        <v>141</v>
      </c>
      <c r="L2" s="67">
        <v>14</v>
      </c>
      <c r="M2" s="69">
        <v>70</v>
      </c>
      <c r="N2" s="52">
        <v>300</v>
      </c>
      <c r="O2" s="71">
        <v>700</v>
      </c>
      <c r="P2" s="71">
        <v>210</v>
      </c>
      <c r="Q2" s="71">
        <v>70</v>
      </c>
      <c r="R2" s="52">
        <f>SUM(E2:Q2)</f>
        <v>2437</v>
      </c>
      <c r="S2" s="52" t="s">
        <v>352</v>
      </c>
    </row>
    <row r="3" spans="1:20" ht="69" customHeight="1" x14ac:dyDescent="0.3">
      <c r="A3" s="47" t="s">
        <v>231</v>
      </c>
      <c r="B3" s="46" t="s">
        <v>351</v>
      </c>
      <c r="C3" s="42" t="s">
        <v>350</v>
      </c>
      <c r="D3" s="51"/>
      <c r="E3" s="51">
        <v>0</v>
      </c>
      <c r="F3" s="51">
        <v>0</v>
      </c>
      <c r="G3" s="51">
        <v>0</v>
      </c>
      <c r="H3" s="51">
        <v>140</v>
      </c>
      <c r="I3" s="59">
        <v>0</v>
      </c>
      <c r="J3" s="59">
        <v>0</v>
      </c>
      <c r="K3" s="59">
        <v>0</v>
      </c>
      <c r="L3" s="59">
        <v>2.8000000000000003</v>
      </c>
      <c r="M3" s="59">
        <v>0</v>
      </c>
      <c r="N3" s="59">
        <v>0</v>
      </c>
      <c r="O3" s="59">
        <v>0</v>
      </c>
      <c r="P3" s="59">
        <v>0</v>
      </c>
      <c r="Q3" s="59">
        <v>14</v>
      </c>
      <c r="R3" s="52">
        <f t="shared" ref="R3:R66" si="0">SUM(E3:Q3)</f>
        <v>156.80000000000001</v>
      </c>
      <c r="S3" s="42"/>
    </row>
    <row r="4" spans="1:20" ht="64.5" customHeight="1" x14ac:dyDescent="0.3">
      <c r="A4" s="47" t="s">
        <v>231</v>
      </c>
      <c r="B4" s="46" t="s">
        <v>349</v>
      </c>
      <c r="C4" s="42" t="s">
        <v>240</v>
      </c>
      <c r="D4" s="42"/>
      <c r="E4" s="42">
        <v>934.94999999999993</v>
      </c>
      <c r="F4" s="51">
        <v>0</v>
      </c>
      <c r="G4" s="51">
        <v>0</v>
      </c>
      <c r="H4" s="51">
        <v>0</v>
      </c>
      <c r="I4" s="59">
        <v>0</v>
      </c>
      <c r="J4" s="59">
        <v>0</v>
      </c>
      <c r="K4" s="59">
        <v>0</v>
      </c>
      <c r="L4" s="59">
        <v>0</v>
      </c>
      <c r="M4" s="59">
        <v>0</v>
      </c>
      <c r="N4" s="59">
        <v>0</v>
      </c>
      <c r="O4" s="59">
        <v>0</v>
      </c>
      <c r="P4" s="59">
        <v>0</v>
      </c>
      <c r="Q4" s="59">
        <v>0</v>
      </c>
      <c r="R4" s="52">
        <f t="shared" si="0"/>
        <v>934.94999999999993</v>
      </c>
      <c r="S4" s="42"/>
    </row>
    <row r="5" spans="1:20" ht="42.75" customHeight="1" x14ac:dyDescent="0.3">
      <c r="A5" s="47" t="s">
        <v>231</v>
      </c>
      <c r="B5" s="46" t="s">
        <v>348</v>
      </c>
      <c r="C5" s="42" t="s">
        <v>240</v>
      </c>
      <c r="D5" s="42"/>
      <c r="E5" s="42">
        <v>0</v>
      </c>
      <c r="F5" s="51">
        <v>0</v>
      </c>
      <c r="G5" s="51">
        <v>0</v>
      </c>
      <c r="H5" s="51">
        <v>0</v>
      </c>
      <c r="I5" s="59">
        <v>0</v>
      </c>
      <c r="J5" s="59">
        <v>0</v>
      </c>
      <c r="K5" s="59">
        <v>0</v>
      </c>
      <c r="L5" s="59">
        <v>0</v>
      </c>
      <c r="M5" s="59">
        <v>414.4</v>
      </c>
      <c r="N5" s="59">
        <v>0</v>
      </c>
      <c r="O5" s="59">
        <v>0</v>
      </c>
      <c r="P5" s="59">
        <v>1243.2</v>
      </c>
      <c r="Q5" s="59">
        <v>0</v>
      </c>
      <c r="R5" s="52">
        <f t="shared" si="0"/>
        <v>1657.6</v>
      </c>
      <c r="S5" s="42"/>
    </row>
    <row r="6" spans="1:20" ht="42.75" customHeight="1" x14ac:dyDescent="0.3">
      <c r="A6" s="47" t="s">
        <v>231</v>
      </c>
      <c r="B6" s="46" t="s">
        <v>347</v>
      </c>
      <c r="C6" s="42" t="s">
        <v>240</v>
      </c>
      <c r="D6" s="42"/>
      <c r="E6" s="42">
        <v>334.20000000000005</v>
      </c>
      <c r="F6" s="51">
        <v>0</v>
      </c>
      <c r="G6" s="51">
        <v>0</v>
      </c>
      <c r="H6" s="51">
        <v>3961.9999999999995</v>
      </c>
      <c r="I6" s="59">
        <v>100.80000000000001</v>
      </c>
      <c r="J6" s="59">
        <v>631.68000000000006</v>
      </c>
      <c r="K6" s="59">
        <v>0</v>
      </c>
      <c r="L6" s="59">
        <v>79.239999999999995</v>
      </c>
      <c r="M6" s="59">
        <v>0</v>
      </c>
      <c r="N6" s="59">
        <v>0</v>
      </c>
      <c r="O6" s="59">
        <v>0</v>
      </c>
      <c r="P6" s="59">
        <v>0</v>
      </c>
      <c r="Q6" s="59">
        <v>396.19999999999993</v>
      </c>
      <c r="R6" s="52">
        <f t="shared" si="0"/>
        <v>5504.12</v>
      </c>
      <c r="S6" s="42"/>
    </row>
    <row r="7" spans="1:20" ht="42.75" customHeight="1" x14ac:dyDescent="0.3">
      <c r="A7" s="47" t="s">
        <v>231</v>
      </c>
      <c r="B7" s="46" t="s">
        <v>346</v>
      </c>
      <c r="C7" s="42" t="s">
        <v>240</v>
      </c>
      <c r="D7" s="49"/>
      <c r="E7" s="49">
        <v>0</v>
      </c>
      <c r="F7" s="51">
        <v>0</v>
      </c>
      <c r="G7" s="51">
        <v>0</v>
      </c>
      <c r="H7" s="51">
        <v>3010</v>
      </c>
      <c r="I7" s="59">
        <v>77.400000000000006</v>
      </c>
      <c r="J7" s="59">
        <v>485.04</v>
      </c>
      <c r="K7" s="59">
        <v>0</v>
      </c>
      <c r="L7" s="59">
        <v>60.199999999999996</v>
      </c>
      <c r="M7" s="59">
        <v>0</v>
      </c>
      <c r="N7" s="59">
        <v>0</v>
      </c>
      <c r="O7" s="59">
        <v>0</v>
      </c>
      <c r="P7" s="59">
        <v>0</v>
      </c>
      <c r="Q7" s="59">
        <v>301</v>
      </c>
      <c r="R7" s="52">
        <f t="shared" si="0"/>
        <v>3933.64</v>
      </c>
      <c r="S7" s="42"/>
    </row>
    <row r="8" spans="1:20" ht="42.75" customHeight="1" x14ac:dyDescent="0.3">
      <c r="A8" s="47" t="s">
        <v>231</v>
      </c>
      <c r="B8" s="46" t="s">
        <v>345</v>
      </c>
      <c r="C8" s="42" t="s">
        <v>240</v>
      </c>
      <c r="D8" s="42"/>
      <c r="E8" s="42">
        <v>0</v>
      </c>
      <c r="F8" s="51">
        <v>0</v>
      </c>
      <c r="G8" s="51">
        <v>0</v>
      </c>
      <c r="H8" s="51">
        <v>9135</v>
      </c>
      <c r="I8" s="59">
        <v>235.08</v>
      </c>
      <c r="J8" s="59">
        <v>1473.1680000000001</v>
      </c>
      <c r="K8" s="59">
        <v>0</v>
      </c>
      <c r="L8" s="59">
        <v>182.7</v>
      </c>
      <c r="M8" s="59">
        <v>0</v>
      </c>
      <c r="N8" s="59">
        <v>0</v>
      </c>
      <c r="O8" s="59">
        <v>0</v>
      </c>
      <c r="P8" s="59">
        <v>0</v>
      </c>
      <c r="Q8" s="59">
        <v>913.49999999999989</v>
      </c>
      <c r="R8" s="52">
        <f t="shared" si="0"/>
        <v>11939.448</v>
      </c>
      <c r="S8" s="42"/>
    </row>
    <row r="9" spans="1:20" ht="42.75" customHeight="1" x14ac:dyDescent="0.3">
      <c r="A9" s="47" t="s">
        <v>231</v>
      </c>
      <c r="B9" s="46" t="s">
        <v>344</v>
      </c>
      <c r="C9" s="42" t="s">
        <v>240</v>
      </c>
      <c r="D9" s="49"/>
      <c r="E9" s="49">
        <v>0</v>
      </c>
      <c r="F9" s="51">
        <v>0</v>
      </c>
      <c r="G9" s="51">
        <v>0</v>
      </c>
      <c r="H9" s="51">
        <v>5739.9999999999991</v>
      </c>
      <c r="I9" s="59">
        <v>147.6</v>
      </c>
      <c r="J9" s="59">
        <v>924.95999999999992</v>
      </c>
      <c r="K9" s="59">
        <v>0</v>
      </c>
      <c r="L9" s="59">
        <v>114.79999999999998</v>
      </c>
      <c r="M9" s="59">
        <v>0</v>
      </c>
      <c r="N9" s="59">
        <v>0</v>
      </c>
      <c r="O9" s="59">
        <v>0</v>
      </c>
      <c r="P9" s="59">
        <v>0</v>
      </c>
      <c r="Q9" s="59">
        <v>574</v>
      </c>
      <c r="R9" s="52">
        <f t="shared" si="0"/>
        <v>7501.36</v>
      </c>
      <c r="S9" s="42"/>
    </row>
    <row r="10" spans="1:20" ht="42.75" customHeight="1" x14ac:dyDescent="0.3">
      <c r="A10" s="47" t="s">
        <v>343</v>
      </c>
      <c r="B10" s="46" t="s">
        <v>342</v>
      </c>
      <c r="C10" s="42" t="s">
        <v>240</v>
      </c>
      <c r="D10" s="45" t="s">
        <v>307</v>
      </c>
      <c r="E10" s="42">
        <v>16.5</v>
      </c>
      <c r="F10" s="51">
        <v>0</v>
      </c>
      <c r="G10" s="51">
        <v>0</v>
      </c>
      <c r="H10" s="51">
        <v>0</v>
      </c>
      <c r="I10" s="59">
        <v>0</v>
      </c>
      <c r="J10" s="59">
        <v>0</v>
      </c>
      <c r="K10" s="59">
        <v>0</v>
      </c>
      <c r="L10" s="59">
        <v>0</v>
      </c>
      <c r="M10" s="59">
        <v>0</v>
      </c>
      <c r="N10" s="59">
        <v>0</v>
      </c>
      <c r="O10" s="59">
        <v>0</v>
      </c>
      <c r="P10" s="59">
        <v>0</v>
      </c>
      <c r="Q10" s="59">
        <v>0</v>
      </c>
      <c r="R10" s="52">
        <f t="shared" si="0"/>
        <v>16.5</v>
      </c>
      <c r="S10" s="42"/>
    </row>
    <row r="11" spans="1:20" ht="42.75" customHeight="1" x14ac:dyDescent="0.3">
      <c r="A11" s="47" t="s">
        <v>339</v>
      </c>
      <c r="B11" s="46" t="s">
        <v>341</v>
      </c>
      <c r="C11" s="42" t="s">
        <v>240</v>
      </c>
      <c r="D11" s="48" t="s">
        <v>250</v>
      </c>
      <c r="E11" s="49">
        <v>0</v>
      </c>
      <c r="F11" s="51">
        <v>0</v>
      </c>
      <c r="G11" s="51">
        <v>0</v>
      </c>
      <c r="H11" s="51">
        <v>1680</v>
      </c>
      <c r="I11" s="59">
        <v>43.199999999999996</v>
      </c>
      <c r="J11" s="59">
        <v>270.71999999999997</v>
      </c>
      <c r="K11" s="59">
        <v>0</v>
      </c>
      <c r="L11" s="59">
        <v>33.6</v>
      </c>
      <c r="M11" s="59">
        <v>0</v>
      </c>
      <c r="N11" s="59">
        <v>0</v>
      </c>
      <c r="O11" s="59">
        <v>0</v>
      </c>
      <c r="P11" s="59">
        <v>0</v>
      </c>
      <c r="Q11" s="59">
        <v>168</v>
      </c>
      <c r="R11" s="52">
        <f t="shared" si="0"/>
        <v>2195.52</v>
      </c>
      <c r="S11" s="42"/>
    </row>
    <row r="12" spans="1:20" ht="42.75" customHeight="1" x14ac:dyDescent="0.3">
      <c r="A12" s="47" t="s">
        <v>231</v>
      </c>
      <c r="B12" s="46" t="s">
        <v>340</v>
      </c>
      <c r="C12" s="42" t="s">
        <v>240</v>
      </c>
      <c r="D12" s="49"/>
      <c r="E12" s="49">
        <v>0</v>
      </c>
      <c r="F12" s="51">
        <v>0</v>
      </c>
      <c r="G12" s="51">
        <v>0</v>
      </c>
      <c r="H12" s="51">
        <v>5180</v>
      </c>
      <c r="I12" s="59">
        <v>133.74</v>
      </c>
      <c r="J12" s="59">
        <v>834.72</v>
      </c>
      <c r="K12" s="59">
        <v>0</v>
      </c>
      <c r="L12" s="59">
        <v>103.60000000000001</v>
      </c>
      <c r="M12" s="59">
        <v>0</v>
      </c>
      <c r="N12" s="59">
        <v>0</v>
      </c>
      <c r="O12" s="59">
        <v>0</v>
      </c>
      <c r="P12" s="59">
        <v>0</v>
      </c>
      <c r="Q12" s="59">
        <v>518</v>
      </c>
      <c r="R12" s="52">
        <f t="shared" si="0"/>
        <v>6770.06</v>
      </c>
      <c r="S12" s="42"/>
    </row>
    <row r="13" spans="1:20" ht="42.75" customHeight="1" x14ac:dyDescent="0.3">
      <c r="A13" s="47" t="s">
        <v>339</v>
      </c>
      <c r="B13" s="46" t="s">
        <v>338</v>
      </c>
      <c r="C13" s="42" t="s">
        <v>240</v>
      </c>
      <c r="D13" s="48" t="s">
        <v>250</v>
      </c>
      <c r="E13" s="49">
        <v>0</v>
      </c>
      <c r="F13" s="51">
        <v>0</v>
      </c>
      <c r="G13" s="51">
        <v>0</v>
      </c>
      <c r="H13" s="51">
        <v>840</v>
      </c>
      <c r="I13" s="59">
        <v>21.599999999999998</v>
      </c>
      <c r="J13" s="59">
        <v>135.35999999999999</v>
      </c>
      <c r="K13" s="59">
        <v>0</v>
      </c>
      <c r="L13" s="59">
        <v>16.8</v>
      </c>
      <c r="M13" s="59">
        <v>0</v>
      </c>
      <c r="N13" s="59">
        <v>0</v>
      </c>
      <c r="O13" s="59">
        <v>0</v>
      </c>
      <c r="P13" s="59">
        <v>0</v>
      </c>
      <c r="Q13" s="59">
        <v>84</v>
      </c>
      <c r="R13" s="52">
        <f t="shared" si="0"/>
        <v>1097.76</v>
      </c>
      <c r="S13" s="42"/>
    </row>
    <row r="14" spans="1:20" ht="42.75" customHeight="1" x14ac:dyDescent="0.3">
      <c r="A14" s="47" t="s">
        <v>231</v>
      </c>
      <c r="B14" s="46" t="s">
        <v>337</v>
      </c>
      <c r="C14" s="42" t="s">
        <v>229</v>
      </c>
      <c r="D14" s="42"/>
      <c r="E14" s="42">
        <v>0</v>
      </c>
      <c r="F14" s="51">
        <v>0</v>
      </c>
      <c r="G14" s="51">
        <v>0</v>
      </c>
      <c r="H14" s="51">
        <v>3500</v>
      </c>
      <c r="I14" s="59">
        <v>0</v>
      </c>
      <c r="J14" s="59">
        <v>0</v>
      </c>
      <c r="K14" s="59">
        <v>0</v>
      </c>
      <c r="L14" s="59">
        <v>70</v>
      </c>
      <c r="M14" s="59">
        <v>0</v>
      </c>
      <c r="N14" s="59">
        <v>0</v>
      </c>
      <c r="O14" s="59">
        <v>0</v>
      </c>
      <c r="P14" s="59">
        <v>0</v>
      </c>
      <c r="Q14" s="59">
        <v>350</v>
      </c>
      <c r="R14" s="52">
        <f t="shared" si="0"/>
        <v>3920</v>
      </c>
      <c r="S14" s="42"/>
    </row>
    <row r="15" spans="1:20" ht="42.75" customHeight="1" x14ac:dyDescent="0.3">
      <c r="A15" s="47" t="s">
        <v>231</v>
      </c>
      <c r="B15" s="46" t="s">
        <v>336</v>
      </c>
      <c r="C15" s="42" t="s">
        <v>229</v>
      </c>
      <c r="D15" s="42"/>
      <c r="E15" s="42">
        <v>0</v>
      </c>
      <c r="F15" s="51">
        <v>0</v>
      </c>
      <c r="G15" s="51">
        <v>0</v>
      </c>
      <c r="H15" s="51">
        <v>105</v>
      </c>
      <c r="I15" s="59">
        <v>0</v>
      </c>
      <c r="J15" s="59">
        <v>16.919999999999998</v>
      </c>
      <c r="K15" s="59">
        <v>0</v>
      </c>
      <c r="L15" s="59">
        <v>2.1</v>
      </c>
      <c r="M15" s="59">
        <v>0</v>
      </c>
      <c r="N15" s="59">
        <v>0</v>
      </c>
      <c r="O15" s="59">
        <v>0</v>
      </c>
      <c r="P15" s="59">
        <v>0</v>
      </c>
      <c r="Q15" s="59">
        <v>10.5</v>
      </c>
      <c r="R15" s="52">
        <f t="shared" si="0"/>
        <v>134.51999999999998</v>
      </c>
      <c r="S15" s="42"/>
    </row>
    <row r="16" spans="1:20" ht="42.75" customHeight="1" x14ac:dyDescent="0.3">
      <c r="A16" s="47" t="s">
        <v>231</v>
      </c>
      <c r="B16" s="50" t="s">
        <v>335</v>
      </c>
      <c r="C16" s="42" t="s">
        <v>229</v>
      </c>
      <c r="D16" s="49"/>
      <c r="E16" s="49">
        <v>0</v>
      </c>
      <c r="F16" s="51">
        <v>15</v>
      </c>
      <c r="G16" s="51">
        <v>0</v>
      </c>
      <c r="H16" s="51">
        <v>140</v>
      </c>
      <c r="I16" s="59">
        <v>0</v>
      </c>
      <c r="J16" s="59">
        <v>564</v>
      </c>
      <c r="K16" s="59">
        <v>0</v>
      </c>
      <c r="L16" s="59">
        <v>2.8000000000000003</v>
      </c>
      <c r="M16" s="59">
        <v>0</v>
      </c>
      <c r="N16" s="59">
        <v>150</v>
      </c>
      <c r="O16" s="59">
        <v>0</v>
      </c>
      <c r="P16" s="59">
        <v>0</v>
      </c>
      <c r="Q16" s="59">
        <v>14</v>
      </c>
      <c r="R16" s="52">
        <f t="shared" si="0"/>
        <v>885.8</v>
      </c>
      <c r="S16" s="42"/>
    </row>
    <row r="17" spans="1:19" ht="42.75" customHeight="1" x14ac:dyDescent="0.3">
      <c r="A17" s="47" t="s">
        <v>231</v>
      </c>
      <c r="B17" s="46" t="s">
        <v>334</v>
      </c>
      <c r="C17" s="42" t="s">
        <v>229</v>
      </c>
      <c r="D17" s="42"/>
      <c r="E17" s="42">
        <v>7.95</v>
      </c>
      <c r="F17" s="51">
        <v>0</v>
      </c>
      <c r="G17" s="51">
        <v>0</v>
      </c>
      <c r="H17" s="51">
        <v>0</v>
      </c>
      <c r="I17" s="59">
        <v>0</v>
      </c>
      <c r="J17" s="59">
        <v>0</v>
      </c>
      <c r="K17" s="59">
        <v>0</v>
      </c>
      <c r="L17" s="59">
        <v>0</v>
      </c>
      <c r="M17" s="59">
        <v>4.62</v>
      </c>
      <c r="N17" s="59">
        <v>0</v>
      </c>
      <c r="O17" s="59">
        <v>0</v>
      </c>
      <c r="P17" s="59">
        <v>13.860000000000001</v>
      </c>
      <c r="Q17" s="59">
        <v>0</v>
      </c>
      <c r="R17" s="52">
        <f t="shared" si="0"/>
        <v>26.43</v>
      </c>
      <c r="S17" s="42"/>
    </row>
    <row r="18" spans="1:19" ht="42.75" customHeight="1" x14ac:dyDescent="0.3">
      <c r="A18" s="47" t="s">
        <v>231</v>
      </c>
      <c r="B18" s="46" t="s">
        <v>333</v>
      </c>
      <c r="C18" s="42" t="s">
        <v>229</v>
      </c>
      <c r="D18" s="49"/>
      <c r="E18" s="49">
        <v>11.25</v>
      </c>
      <c r="F18" s="51">
        <v>0</v>
      </c>
      <c r="G18" s="51">
        <v>0</v>
      </c>
      <c r="H18" s="51">
        <v>0</v>
      </c>
      <c r="I18" s="59">
        <v>82.26</v>
      </c>
      <c r="J18" s="59">
        <v>0</v>
      </c>
      <c r="K18" s="59">
        <v>0</v>
      </c>
      <c r="L18" s="59">
        <v>0</v>
      </c>
      <c r="M18" s="59">
        <v>0.14000000000000001</v>
      </c>
      <c r="N18" s="59">
        <v>0</v>
      </c>
      <c r="O18" s="59">
        <v>0</v>
      </c>
      <c r="P18" s="59">
        <v>0.42</v>
      </c>
      <c r="Q18" s="59">
        <v>0</v>
      </c>
      <c r="R18" s="52">
        <f t="shared" si="0"/>
        <v>94.070000000000007</v>
      </c>
      <c r="S18" s="42"/>
    </row>
    <row r="19" spans="1:19" ht="16.8" x14ac:dyDescent="0.3">
      <c r="A19" s="47" t="s">
        <v>231</v>
      </c>
      <c r="B19" s="46" t="s">
        <v>332</v>
      </c>
      <c r="C19" s="42" t="s">
        <v>229</v>
      </c>
      <c r="D19" s="42"/>
      <c r="E19" s="42">
        <v>236.85</v>
      </c>
      <c r="F19" s="51">
        <v>0</v>
      </c>
      <c r="G19" s="51">
        <v>0</v>
      </c>
      <c r="H19" s="51">
        <v>0</v>
      </c>
      <c r="I19" s="59">
        <v>102.6</v>
      </c>
      <c r="J19" s="59">
        <v>499.70400000000001</v>
      </c>
      <c r="K19" s="59">
        <v>0</v>
      </c>
      <c r="L19" s="59">
        <v>0</v>
      </c>
      <c r="M19" s="59">
        <v>199.78</v>
      </c>
      <c r="N19" s="59">
        <v>0</v>
      </c>
      <c r="O19" s="59">
        <v>0</v>
      </c>
      <c r="P19" s="59">
        <v>599.34</v>
      </c>
      <c r="Q19" s="59">
        <v>0</v>
      </c>
      <c r="R19" s="52">
        <f t="shared" si="0"/>
        <v>1638.2739999999999</v>
      </c>
      <c r="S19" s="42"/>
    </row>
    <row r="20" spans="1:19" ht="16.8" x14ac:dyDescent="0.3">
      <c r="A20" s="47" t="s">
        <v>231</v>
      </c>
      <c r="B20" s="46" t="s">
        <v>331</v>
      </c>
      <c r="C20" s="42" t="s">
        <v>229</v>
      </c>
      <c r="D20" s="42"/>
      <c r="E20" s="42">
        <v>0</v>
      </c>
      <c r="F20" s="51">
        <v>0</v>
      </c>
      <c r="G20" s="51">
        <v>0</v>
      </c>
      <c r="H20" s="51">
        <v>0</v>
      </c>
      <c r="I20" s="59">
        <v>0</v>
      </c>
      <c r="J20" s="59">
        <v>0</v>
      </c>
      <c r="K20" s="59">
        <v>0</v>
      </c>
      <c r="L20" s="59">
        <v>0</v>
      </c>
      <c r="M20" s="59">
        <v>0.28000000000000003</v>
      </c>
      <c r="N20" s="59">
        <v>0</v>
      </c>
      <c r="O20" s="59">
        <v>0</v>
      </c>
      <c r="P20" s="59">
        <v>0.84</v>
      </c>
      <c r="Q20" s="59">
        <v>0</v>
      </c>
      <c r="R20" s="52">
        <f t="shared" si="0"/>
        <v>1.1200000000000001</v>
      </c>
      <c r="S20" s="42"/>
    </row>
    <row r="21" spans="1:19" ht="16.8" x14ac:dyDescent="0.3">
      <c r="A21" s="47" t="s">
        <v>231</v>
      </c>
      <c r="B21" s="46" t="s">
        <v>330</v>
      </c>
      <c r="C21" s="42" t="s">
        <v>229</v>
      </c>
      <c r="D21" s="42"/>
      <c r="E21" s="42">
        <v>0</v>
      </c>
      <c r="F21" s="51">
        <v>0</v>
      </c>
      <c r="G21" s="51">
        <v>0</v>
      </c>
      <c r="H21" s="51">
        <v>0</v>
      </c>
      <c r="I21" s="59">
        <v>0</v>
      </c>
      <c r="J21" s="59">
        <v>0</v>
      </c>
      <c r="K21" s="59">
        <v>0</v>
      </c>
      <c r="L21" s="59">
        <v>0</v>
      </c>
      <c r="M21" s="59">
        <v>0.28000000000000003</v>
      </c>
      <c r="N21" s="59">
        <v>0</v>
      </c>
      <c r="O21" s="59">
        <v>0</v>
      </c>
      <c r="P21" s="59">
        <v>0.84</v>
      </c>
      <c r="Q21" s="59">
        <v>0</v>
      </c>
      <c r="R21" s="52">
        <f t="shared" si="0"/>
        <v>1.1200000000000001</v>
      </c>
      <c r="S21" s="42"/>
    </row>
    <row r="22" spans="1:19" ht="16.8" x14ac:dyDescent="0.3">
      <c r="A22" s="47" t="s">
        <v>231</v>
      </c>
      <c r="B22" s="46" t="s">
        <v>329</v>
      </c>
      <c r="C22" s="42" t="s">
        <v>229</v>
      </c>
      <c r="D22" s="42"/>
      <c r="E22" s="42">
        <v>0</v>
      </c>
      <c r="F22" s="51">
        <v>0</v>
      </c>
      <c r="G22" s="51">
        <v>0</v>
      </c>
      <c r="H22" s="51">
        <v>875</v>
      </c>
      <c r="I22" s="59">
        <v>22.14</v>
      </c>
      <c r="J22" s="59">
        <v>138.744</v>
      </c>
      <c r="K22" s="59">
        <v>0</v>
      </c>
      <c r="L22" s="59">
        <v>17.5</v>
      </c>
      <c r="M22" s="59">
        <v>0</v>
      </c>
      <c r="N22" s="59">
        <v>0</v>
      </c>
      <c r="O22" s="59">
        <v>0</v>
      </c>
      <c r="P22" s="59">
        <v>0</v>
      </c>
      <c r="Q22" s="59">
        <v>87.5</v>
      </c>
      <c r="R22" s="52">
        <f t="shared" si="0"/>
        <v>1140.884</v>
      </c>
      <c r="S22" s="42"/>
    </row>
    <row r="23" spans="1:19" ht="33.6" x14ac:dyDescent="0.3">
      <c r="A23" s="47" t="s">
        <v>231</v>
      </c>
      <c r="B23" s="46" t="s">
        <v>328</v>
      </c>
      <c r="C23" s="42" t="s">
        <v>240</v>
      </c>
      <c r="D23" s="42"/>
      <c r="E23" s="42">
        <v>300</v>
      </c>
      <c r="F23" s="51">
        <v>420</v>
      </c>
      <c r="G23" s="51">
        <v>150</v>
      </c>
      <c r="H23" s="51">
        <v>14000</v>
      </c>
      <c r="I23" s="59">
        <v>420</v>
      </c>
      <c r="J23" s="59">
        <v>2256</v>
      </c>
      <c r="K23" s="59">
        <v>705</v>
      </c>
      <c r="L23" s="59">
        <v>280</v>
      </c>
      <c r="M23" s="59">
        <v>560</v>
      </c>
      <c r="N23" s="59">
        <v>4200</v>
      </c>
      <c r="O23" s="59">
        <v>3500</v>
      </c>
      <c r="P23" s="59">
        <v>1680</v>
      </c>
      <c r="Q23" s="59">
        <v>1400</v>
      </c>
      <c r="R23" s="52">
        <f t="shared" si="0"/>
        <v>29871</v>
      </c>
      <c r="S23" s="42"/>
    </row>
    <row r="24" spans="1:19" ht="48.75" customHeight="1" x14ac:dyDescent="0.3">
      <c r="A24" s="47" t="s">
        <v>231</v>
      </c>
      <c r="B24" s="46" t="s">
        <v>327</v>
      </c>
      <c r="C24" s="42" t="s">
        <v>240</v>
      </c>
      <c r="D24" s="42"/>
      <c r="E24" s="42">
        <v>420</v>
      </c>
      <c r="F24" s="51">
        <v>360</v>
      </c>
      <c r="G24" s="51">
        <v>150</v>
      </c>
      <c r="H24" s="51">
        <v>8400</v>
      </c>
      <c r="I24" s="59">
        <v>360</v>
      </c>
      <c r="J24" s="59">
        <v>2256</v>
      </c>
      <c r="K24" s="59">
        <v>705</v>
      </c>
      <c r="L24" s="59">
        <v>168</v>
      </c>
      <c r="M24" s="59">
        <v>490</v>
      </c>
      <c r="N24" s="59">
        <v>3600</v>
      </c>
      <c r="O24" s="59">
        <v>3500</v>
      </c>
      <c r="P24" s="59">
        <v>1470</v>
      </c>
      <c r="Q24" s="59">
        <v>840</v>
      </c>
      <c r="R24" s="52">
        <f t="shared" si="0"/>
        <v>22719</v>
      </c>
      <c r="S24" s="42"/>
    </row>
    <row r="25" spans="1:19" ht="16.8" x14ac:dyDescent="0.3">
      <c r="A25" s="47" t="s">
        <v>231</v>
      </c>
      <c r="B25" s="46" t="s">
        <v>326</v>
      </c>
      <c r="C25" s="42" t="s">
        <v>240</v>
      </c>
      <c r="D25" s="42"/>
      <c r="E25" s="42">
        <v>0</v>
      </c>
      <c r="F25" s="51">
        <v>0</v>
      </c>
      <c r="G25" s="51">
        <v>443.52000000000004</v>
      </c>
      <c r="H25" s="51">
        <v>0</v>
      </c>
      <c r="I25" s="59">
        <v>0</v>
      </c>
      <c r="J25" s="59">
        <v>0</v>
      </c>
      <c r="K25" s="59">
        <v>2084.5440000000003</v>
      </c>
      <c r="L25" s="59">
        <v>0</v>
      </c>
      <c r="M25" s="59">
        <v>705.6</v>
      </c>
      <c r="N25" s="59">
        <v>0</v>
      </c>
      <c r="O25" s="59">
        <v>10348.800000000001</v>
      </c>
      <c r="P25" s="59">
        <v>2116.8000000000002</v>
      </c>
      <c r="Q25" s="59">
        <v>0</v>
      </c>
      <c r="R25" s="52">
        <f t="shared" si="0"/>
        <v>15699.264000000003</v>
      </c>
      <c r="S25" s="42" t="s">
        <v>245</v>
      </c>
    </row>
    <row r="26" spans="1:19" ht="16.8" x14ac:dyDescent="0.3">
      <c r="A26" s="47" t="s">
        <v>231</v>
      </c>
      <c r="B26" s="46" t="s">
        <v>325</v>
      </c>
      <c r="C26" s="42" t="s">
        <v>240</v>
      </c>
      <c r="D26" s="49"/>
      <c r="E26" s="49">
        <v>0</v>
      </c>
      <c r="F26" s="51">
        <v>0</v>
      </c>
      <c r="G26" s="51">
        <v>0</v>
      </c>
      <c r="H26" s="51">
        <v>4375</v>
      </c>
      <c r="I26" s="59">
        <v>0</v>
      </c>
      <c r="J26" s="59">
        <v>0</v>
      </c>
      <c r="K26" s="59">
        <v>0</v>
      </c>
      <c r="L26" s="59">
        <v>87.5</v>
      </c>
      <c r="M26" s="59">
        <v>0</v>
      </c>
      <c r="N26" s="59">
        <v>0</v>
      </c>
      <c r="O26" s="59">
        <v>0</v>
      </c>
      <c r="P26" s="59">
        <v>0</v>
      </c>
      <c r="Q26" s="59">
        <v>437.5</v>
      </c>
      <c r="R26" s="52">
        <f t="shared" si="0"/>
        <v>4900</v>
      </c>
      <c r="S26" s="42"/>
    </row>
    <row r="27" spans="1:19" ht="16.8" x14ac:dyDescent="0.3">
      <c r="A27" s="47" t="s">
        <v>231</v>
      </c>
      <c r="B27" s="46" t="s">
        <v>324</v>
      </c>
      <c r="C27" s="42" t="s">
        <v>240</v>
      </c>
      <c r="D27" s="42"/>
      <c r="E27" s="42">
        <v>0</v>
      </c>
      <c r="F27" s="51">
        <v>0</v>
      </c>
      <c r="G27" s="51">
        <v>0</v>
      </c>
      <c r="H27" s="51">
        <v>4620</v>
      </c>
      <c r="I27" s="59">
        <v>0</v>
      </c>
      <c r="J27" s="59">
        <v>0</v>
      </c>
      <c r="K27" s="59">
        <v>0</v>
      </c>
      <c r="L27" s="59">
        <v>92.4</v>
      </c>
      <c r="M27" s="59">
        <v>0</v>
      </c>
      <c r="N27" s="59">
        <v>0</v>
      </c>
      <c r="O27" s="59">
        <v>0</v>
      </c>
      <c r="P27" s="59">
        <v>0</v>
      </c>
      <c r="Q27" s="59">
        <v>462.00000000000006</v>
      </c>
      <c r="R27" s="52">
        <f t="shared" si="0"/>
        <v>5174.3999999999996</v>
      </c>
      <c r="S27" s="42"/>
    </row>
    <row r="28" spans="1:19" ht="16.8" x14ac:dyDescent="0.3">
      <c r="A28" s="47" t="s">
        <v>231</v>
      </c>
      <c r="B28" s="46" t="s">
        <v>323</v>
      </c>
      <c r="C28" s="42" t="s">
        <v>229</v>
      </c>
      <c r="D28" s="49"/>
      <c r="E28" s="49">
        <v>0</v>
      </c>
      <c r="F28" s="51">
        <v>0</v>
      </c>
      <c r="G28" s="51">
        <v>21.840000000000003</v>
      </c>
      <c r="H28" s="51">
        <v>0</v>
      </c>
      <c r="I28" s="59">
        <v>0</v>
      </c>
      <c r="J28" s="59">
        <v>0</v>
      </c>
      <c r="K28" s="59">
        <v>102.64800000000001</v>
      </c>
      <c r="L28" s="59">
        <v>0</v>
      </c>
      <c r="M28" s="59">
        <v>0</v>
      </c>
      <c r="N28" s="59">
        <v>0</v>
      </c>
      <c r="O28" s="59">
        <v>509.60000000000008</v>
      </c>
      <c r="P28" s="59">
        <v>0</v>
      </c>
      <c r="Q28" s="59">
        <v>0</v>
      </c>
      <c r="R28" s="52">
        <f t="shared" si="0"/>
        <v>634.08800000000008</v>
      </c>
      <c r="S28" s="42"/>
    </row>
    <row r="29" spans="1:19" ht="16.8" x14ac:dyDescent="0.3">
      <c r="A29" s="47" t="s">
        <v>231</v>
      </c>
      <c r="B29" s="46" t="s">
        <v>322</v>
      </c>
      <c r="C29" s="42" t="s">
        <v>229</v>
      </c>
      <c r="D29" s="42"/>
      <c r="E29" s="42">
        <v>0</v>
      </c>
      <c r="F29" s="51">
        <v>0</v>
      </c>
      <c r="G29" s="51">
        <v>0</v>
      </c>
      <c r="H29" s="51">
        <v>455</v>
      </c>
      <c r="I29" s="59">
        <v>23.400000000000002</v>
      </c>
      <c r="J29" s="59">
        <v>146.64000000000001</v>
      </c>
      <c r="K29" s="59">
        <v>0</v>
      </c>
      <c r="L29" s="59">
        <v>9.1</v>
      </c>
      <c r="M29" s="59">
        <v>0</v>
      </c>
      <c r="N29" s="59">
        <v>0</v>
      </c>
      <c r="O29" s="59">
        <v>0</v>
      </c>
      <c r="P29" s="59">
        <v>0</v>
      </c>
      <c r="Q29" s="59">
        <v>45.5</v>
      </c>
      <c r="R29" s="52">
        <f t="shared" si="0"/>
        <v>679.64</v>
      </c>
      <c r="S29" s="42"/>
    </row>
    <row r="30" spans="1:19" ht="16.8" x14ac:dyDescent="0.3">
      <c r="A30" s="47" t="s">
        <v>231</v>
      </c>
      <c r="B30" s="46" t="s">
        <v>321</v>
      </c>
      <c r="C30" s="42" t="s">
        <v>229</v>
      </c>
      <c r="D30" s="49"/>
      <c r="E30" s="49">
        <v>0</v>
      </c>
      <c r="F30" s="51">
        <v>0</v>
      </c>
      <c r="G30" s="51">
        <v>0</v>
      </c>
      <c r="H30" s="51">
        <v>0</v>
      </c>
      <c r="I30" s="59">
        <v>0</v>
      </c>
      <c r="J30" s="59">
        <v>0</v>
      </c>
      <c r="K30" s="59">
        <v>0</v>
      </c>
      <c r="L30" s="59">
        <v>0</v>
      </c>
      <c r="M30" s="59">
        <v>222.74</v>
      </c>
      <c r="N30" s="59">
        <v>0</v>
      </c>
      <c r="O30" s="59">
        <v>0</v>
      </c>
      <c r="P30" s="59">
        <v>668.22</v>
      </c>
      <c r="Q30" s="59">
        <v>0</v>
      </c>
      <c r="R30" s="52">
        <f t="shared" si="0"/>
        <v>890.96</v>
      </c>
      <c r="S30" s="42"/>
    </row>
    <row r="31" spans="1:19" ht="16.8" x14ac:dyDescent="0.3">
      <c r="A31" s="47" t="s">
        <v>231</v>
      </c>
      <c r="B31" s="46" t="s">
        <v>320</v>
      </c>
      <c r="C31" s="42" t="s">
        <v>229</v>
      </c>
      <c r="D31" s="49"/>
      <c r="E31" s="49">
        <v>0</v>
      </c>
      <c r="F31" s="51">
        <v>0</v>
      </c>
      <c r="G31" s="51">
        <v>0</v>
      </c>
      <c r="H31" s="51">
        <v>0</v>
      </c>
      <c r="I31" s="59">
        <v>0</v>
      </c>
      <c r="J31" s="59">
        <v>0</v>
      </c>
      <c r="K31" s="59">
        <v>0</v>
      </c>
      <c r="L31" s="59">
        <v>0</v>
      </c>
      <c r="M31" s="59">
        <v>248.78</v>
      </c>
      <c r="N31" s="59">
        <v>0</v>
      </c>
      <c r="O31" s="59">
        <v>0</v>
      </c>
      <c r="P31" s="59">
        <v>746.33999999999992</v>
      </c>
      <c r="Q31" s="59">
        <v>0</v>
      </c>
      <c r="R31" s="52">
        <f t="shared" si="0"/>
        <v>995.11999999999989</v>
      </c>
      <c r="S31" s="42"/>
    </row>
    <row r="32" spans="1:19" ht="16.8" x14ac:dyDescent="0.3">
      <c r="A32" s="47" t="s">
        <v>231</v>
      </c>
      <c r="B32" s="46" t="s">
        <v>319</v>
      </c>
      <c r="C32" s="42" t="s">
        <v>229</v>
      </c>
      <c r="D32" s="42"/>
      <c r="E32" s="42">
        <v>0</v>
      </c>
      <c r="F32" s="51">
        <v>0</v>
      </c>
      <c r="G32" s="51">
        <v>18.942</v>
      </c>
      <c r="H32" s="51">
        <v>0</v>
      </c>
      <c r="I32" s="59">
        <v>0</v>
      </c>
      <c r="J32" s="59">
        <v>0</v>
      </c>
      <c r="K32" s="59">
        <v>89.0274</v>
      </c>
      <c r="L32" s="59">
        <v>0</v>
      </c>
      <c r="M32" s="59">
        <v>0</v>
      </c>
      <c r="N32" s="59">
        <v>0</v>
      </c>
      <c r="O32" s="59">
        <v>441.97999999999996</v>
      </c>
      <c r="P32" s="59">
        <v>0</v>
      </c>
      <c r="Q32" s="59">
        <v>0</v>
      </c>
      <c r="R32" s="52">
        <f t="shared" si="0"/>
        <v>549.94939999999997</v>
      </c>
      <c r="S32" s="42"/>
    </row>
    <row r="33" spans="1:19" ht="42.75" customHeight="1" x14ac:dyDescent="0.3">
      <c r="A33" s="47" t="s">
        <v>318</v>
      </c>
      <c r="B33" s="46" t="s">
        <v>317</v>
      </c>
      <c r="C33" s="42" t="s">
        <v>229</v>
      </c>
      <c r="D33" s="45" t="s">
        <v>262</v>
      </c>
      <c r="E33" s="42">
        <v>0</v>
      </c>
      <c r="F33" s="51">
        <v>0</v>
      </c>
      <c r="G33" s="51">
        <v>0</v>
      </c>
      <c r="H33" s="51">
        <v>0</v>
      </c>
      <c r="I33" s="59">
        <v>5.76</v>
      </c>
      <c r="J33" s="59">
        <v>0</v>
      </c>
      <c r="K33" s="59">
        <v>0</v>
      </c>
      <c r="L33" s="59">
        <v>0</v>
      </c>
      <c r="M33" s="59">
        <v>0</v>
      </c>
      <c r="N33" s="59">
        <v>0</v>
      </c>
      <c r="O33" s="59">
        <v>0</v>
      </c>
      <c r="P33" s="59">
        <v>0</v>
      </c>
      <c r="Q33" s="59">
        <v>0</v>
      </c>
      <c r="R33" s="52">
        <f t="shared" si="0"/>
        <v>5.76</v>
      </c>
      <c r="S33" s="42"/>
    </row>
    <row r="34" spans="1:19" ht="42.75" customHeight="1" x14ac:dyDescent="0.3">
      <c r="A34" s="47" t="s">
        <v>231</v>
      </c>
      <c r="B34" s="46" t="s">
        <v>316</v>
      </c>
      <c r="C34" s="42" t="s">
        <v>240</v>
      </c>
      <c r="D34" s="49"/>
      <c r="E34" s="49">
        <v>0</v>
      </c>
      <c r="F34" s="51">
        <v>0</v>
      </c>
      <c r="G34" s="51">
        <v>0</v>
      </c>
      <c r="H34" s="51">
        <v>1190.0000000000002</v>
      </c>
      <c r="I34" s="59">
        <v>17.28</v>
      </c>
      <c r="J34" s="59">
        <v>113.92800000000001</v>
      </c>
      <c r="K34" s="59">
        <v>0</v>
      </c>
      <c r="L34" s="59">
        <v>23.800000000000004</v>
      </c>
      <c r="M34" s="59">
        <v>0</v>
      </c>
      <c r="N34" s="59">
        <v>0</v>
      </c>
      <c r="O34" s="59">
        <v>0</v>
      </c>
      <c r="P34" s="59">
        <v>0</v>
      </c>
      <c r="Q34" s="59">
        <v>119.00000000000001</v>
      </c>
      <c r="R34" s="52">
        <f t="shared" si="0"/>
        <v>1464.0080000000003</v>
      </c>
      <c r="S34" s="42"/>
    </row>
    <row r="35" spans="1:19" ht="42.75" customHeight="1" x14ac:dyDescent="0.3">
      <c r="A35" s="47" t="s">
        <v>231</v>
      </c>
      <c r="B35" s="46" t="s">
        <v>315</v>
      </c>
      <c r="C35" s="42" t="s">
        <v>240</v>
      </c>
      <c r="D35" s="49"/>
      <c r="E35" s="49">
        <v>0</v>
      </c>
      <c r="F35" s="51">
        <v>0</v>
      </c>
      <c r="G35" s="51">
        <v>0</v>
      </c>
      <c r="H35" s="51">
        <v>0</v>
      </c>
      <c r="I35" s="59">
        <v>210.6</v>
      </c>
      <c r="J35" s="59">
        <v>0</v>
      </c>
      <c r="K35" s="59">
        <v>0</v>
      </c>
      <c r="L35" s="59">
        <v>0</v>
      </c>
      <c r="M35" s="59">
        <v>0</v>
      </c>
      <c r="N35" s="59">
        <v>0</v>
      </c>
      <c r="O35" s="59">
        <v>0</v>
      </c>
      <c r="P35" s="59">
        <v>0</v>
      </c>
      <c r="Q35" s="59">
        <v>0</v>
      </c>
      <c r="R35" s="52">
        <f t="shared" si="0"/>
        <v>210.6</v>
      </c>
      <c r="S35" s="42"/>
    </row>
    <row r="36" spans="1:19" ht="42.75" customHeight="1" x14ac:dyDescent="0.3">
      <c r="A36" s="47" t="s">
        <v>231</v>
      </c>
      <c r="B36" s="46" t="s">
        <v>314</v>
      </c>
      <c r="C36" s="42" t="s">
        <v>240</v>
      </c>
      <c r="D36" s="49"/>
      <c r="E36" s="49">
        <v>0</v>
      </c>
      <c r="F36" s="51">
        <v>0</v>
      </c>
      <c r="G36" s="51">
        <v>0</v>
      </c>
      <c r="H36" s="51">
        <v>490.00000000000006</v>
      </c>
      <c r="I36" s="59">
        <v>12.600000000000001</v>
      </c>
      <c r="J36" s="59">
        <v>94.75200000000001</v>
      </c>
      <c r="K36" s="59">
        <v>0</v>
      </c>
      <c r="L36" s="59">
        <v>9.8000000000000007</v>
      </c>
      <c r="M36" s="59">
        <v>0</v>
      </c>
      <c r="N36" s="59">
        <v>0</v>
      </c>
      <c r="O36" s="59">
        <v>0</v>
      </c>
      <c r="P36" s="59">
        <v>0</v>
      </c>
      <c r="Q36" s="59">
        <v>49.000000000000007</v>
      </c>
      <c r="R36" s="52">
        <f t="shared" si="0"/>
        <v>656.15200000000004</v>
      </c>
      <c r="S36" s="42"/>
    </row>
    <row r="37" spans="1:19" ht="42.75" customHeight="1" x14ac:dyDescent="0.3">
      <c r="A37" s="47" t="s">
        <v>231</v>
      </c>
      <c r="B37" s="46" t="s">
        <v>313</v>
      </c>
      <c r="C37" s="42" t="s">
        <v>240</v>
      </c>
      <c r="D37" s="49"/>
      <c r="E37" s="49">
        <v>0</v>
      </c>
      <c r="F37" s="51">
        <v>0</v>
      </c>
      <c r="G37" s="51">
        <v>0</v>
      </c>
      <c r="H37" s="51">
        <v>0</v>
      </c>
      <c r="I37" s="59">
        <v>3.5999999999999996</v>
      </c>
      <c r="J37" s="59">
        <v>0</v>
      </c>
      <c r="K37" s="59">
        <v>0</v>
      </c>
      <c r="L37" s="59">
        <v>0</v>
      </c>
      <c r="M37" s="59">
        <v>0</v>
      </c>
      <c r="N37" s="59">
        <v>0</v>
      </c>
      <c r="O37" s="59">
        <v>0</v>
      </c>
      <c r="P37" s="59">
        <v>0</v>
      </c>
      <c r="Q37" s="59">
        <v>0</v>
      </c>
      <c r="R37" s="52">
        <f t="shared" si="0"/>
        <v>3.5999999999999996</v>
      </c>
      <c r="S37" s="42"/>
    </row>
    <row r="38" spans="1:19" ht="42.75" customHeight="1" x14ac:dyDescent="0.3">
      <c r="A38" s="47" t="s">
        <v>231</v>
      </c>
      <c r="B38" s="46" t="s">
        <v>312</v>
      </c>
      <c r="C38" s="42" t="s">
        <v>229</v>
      </c>
      <c r="D38" s="49"/>
      <c r="E38" s="49">
        <v>0</v>
      </c>
      <c r="F38" s="51">
        <v>0</v>
      </c>
      <c r="G38" s="51">
        <v>0</v>
      </c>
      <c r="H38" s="51">
        <v>0</v>
      </c>
      <c r="I38" s="59">
        <v>0</v>
      </c>
      <c r="J38" s="59">
        <v>0</v>
      </c>
      <c r="K38" s="59">
        <v>0</v>
      </c>
      <c r="L38" s="59">
        <v>0</v>
      </c>
      <c r="M38" s="59">
        <v>51.8</v>
      </c>
      <c r="N38" s="59">
        <v>0</v>
      </c>
      <c r="O38" s="59">
        <v>0</v>
      </c>
      <c r="P38" s="59">
        <v>155.4</v>
      </c>
      <c r="Q38" s="59">
        <v>0</v>
      </c>
      <c r="R38" s="52">
        <f t="shared" si="0"/>
        <v>207.2</v>
      </c>
      <c r="S38" s="42"/>
    </row>
    <row r="39" spans="1:19" ht="42.75" customHeight="1" x14ac:dyDescent="0.3">
      <c r="A39" s="47" t="s">
        <v>231</v>
      </c>
      <c r="B39" s="46" t="s">
        <v>311</v>
      </c>
      <c r="C39" s="42" t="s">
        <v>229</v>
      </c>
      <c r="D39" s="49"/>
      <c r="E39" s="49">
        <v>0</v>
      </c>
      <c r="F39" s="51">
        <v>0</v>
      </c>
      <c r="G39" s="51">
        <v>0</v>
      </c>
      <c r="H39" s="51">
        <v>4235</v>
      </c>
      <c r="I39" s="59">
        <v>102.23999999999998</v>
      </c>
      <c r="J39" s="59">
        <v>394.79999999999995</v>
      </c>
      <c r="K39" s="59">
        <v>0</v>
      </c>
      <c r="L39" s="59">
        <v>84.7</v>
      </c>
      <c r="M39" s="59">
        <v>0</v>
      </c>
      <c r="N39" s="59">
        <v>0</v>
      </c>
      <c r="O39" s="59">
        <v>0</v>
      </c>
      <c r="P39" s="59">
        <v>0</v>
      </c>
      <c r="Q39" s="59">
        <v>423.5</v>
      </c>
      <c r="R39" s="52">
        <f t="shared" si="0"/>
        <v>5240.24</v>
      </c>
      <c r="S39" s="42"/>
    </row>
    <row r="40" spans="1:19" ht="42.75" customHeight="1" x14ac:dyDescent="0.3">
      <c r="A40" s="47" t="s">
        <v>297</v>
      </c>
      <c r="B40" s="46" t="s">
        <v>310</v>
      </c>
      <c r="C40" s="42" t="s">
        <v>229</v>
      </c>
      <c r="D40" s="48" t="s">
        <v>307</v>
      </c>
      <c r="E40" s="49">
        <v>7.95</v>
      </c>
      <c r="F40" s="51">
        <v>0</v>
      </c>
      <c r="G40" s="51">
        <v>0</v>
      </c>
      <c r="H40" s="51">
        <v>1109.5</v>
      </c>
      <c r="I40" s="59">
        <v>29.52</v>
      </c>
      <c r="J40" s="59">
        <v>184.99200000000002</v>
      </c>
      <c r="K40" s="59">
        <v>0</v>
      </c>
      <c r="L40" s="59">
        <v>22.189999999999998</v>
      </c>
      <c r="M40" s="59">
        <v>3.0799999999999996</v>
      </c>
      <c r="N40" s="59">
        <v>0</v>
      </c>
      <c r="O40" s="59">
        <v>0</v>
      </c>
      <c r="P40" s="59">
        <v>9.24</v>
      </c>
      <c r="Q40" s="59">
        <v>110.95</v>
      </c>
      <c r="R40" s="52">
        <f t="shared" si="0"/>
        <v>1477.422</v>
      </c>
      <c r="S40" s="42"/>
    </row>
    <row r="41" spans="1:19" ht="42.75" customHeight="1" x14ac:dyDescent="0.3">
      <c r="A41" s="47" t="s">
        <v>231</v>
      </c>
      <c r="B41" s="46" t="s">
        <v>309</v>
      </c>
      <c r="C41" s="42" t="s">
        <v>229</v>
      </c>
      <c r="D41" s="49"/>
      <c r="E41" s="49">
        <v>0</v>
      </c>
      <c r="F41" s="51">
        <v>0</v>
      </c>
      <c r="G41" s="51">
        <v>0</v>
      </c>
      <c r="H41" s="51">
        <v>2660</v>
      </c>
      <c r="I41" s="59">
        <v>80.459999999999994</v>
      </c>
      <c r="J41" s="59">
        <v>462.47999999999996</v>
      </c>
      <c r="K41" s="59">
        <v>0</v>
      </c>
      <c r="L41" s="59">
        <v>53.199999999999996</v>
      </c>
      <c r="M41" s="59">
        <v>0</v>
      </c>
      <c r="N41" s="59">
        <v>0</v>
      </c>
      <c r="O41" s="59">
        <v>0</v>
      </c>
      <c r="P41" s="59">
        <v>0</v>
      </c>
      <c r="Q41" s="59">
        <v>266</v>
      </c>
      <c r="R41" s="52">
        <f t="shared" si="0"/>
        <v>3522.14</v>
      </c>
      <c r="S41" s="42"/>
    </row>
    <row r="42" spans="1:19" ht="42.75" customHeight="1" x14ac:dyDescent="0.3">
      <c r="A42" s="47" t="s">
        <v>297</v>
      </c>
      <c r="B42" s="46" t="s">
        <v>308</v>
      </c>
      <c r="C42" s="42" t="s">
        <v>229</v>
      </c>
      <c r="D42" s="48" t="s">
        <v>307</v>
      </c>
      <c r="E42" s="49">
        <v>0</v>
      </c>
      <c r="F42" s="51">
        <v>0</v>
      </c>
      <c r="G42" s="51">
        <v>0</v>
      </c>
      <c r="H42" s="51">
        <v>0</v>
      </c>
      <c r="I42" s="59">
        <v>15</v>
      </c>
      <c r="J42" s="59">
        <v>0</v>
      </c>
      <c r="K42" s="59">
        <v>0</v>
      </c>
      <c r="L42" s="59">
        <v>0</v>
      </c>
      <c r="M42" s="59">
        <v>35</v>
      </c>
      <c r="N42" s="59">
        <v>0</v>
      </c>
      <c r="O42" s="59">
        <v>0</v>
      </c>
      <c r="P42" s="59">
        <v>105</v>
      </c>
      <c r="Q42" s="59">
        <v>0</v>
      </c>
      <c r="R42" s="52">
        <f t="shared" si="0"/>
        <v>155</v>
      </c>
      <c r="S42" s="42"/>
    </row>
    <row r="43" spans="1:19" ht="42.75" customHeight="1" x14ac:dyDescent="0.3">
      <c r="A43" s="47" t="s">
        <v>231</v>
      </c>
      <c r="B43" s="46" t="s">
        <v>306</v>
      </c>
      <c r="C43" s="42" t="s">
        <v>229</v>
      </c>
      <c r="D43" s="42"/>
      <c r="E43" s="42">
        <v>0</v>
      </c>
      <c r="F43" s="51">
        <v>0</v>
      </c>
      <c r="G43" s="51">
        <v>0</v>
      </c>
      <c r="H43" s="51">
        <v>0</v>
      </c>
      <c r="I43" s="59">
        <v>46.800000000000004</v>
      </c>
      <c r="J43" s="59">
        <v>0</v>
      </c>
      <c r="K43" s="59">
        <v>0</v>
      </c>
      <c r="L43" s="59">
        <v>0</v>
      </c>
      <c r="M43" s="59">
        <v>0</v>
      </c>
      <c r="N43" s="59">
        <v>0</v>
      </c>
      <c r="O43" s="59">
        <v>0</v>
      </c>
      <c r="P43" s="59">
        <v>0</v>
      </c>
      <c r="Q43" s="59">
        <v>0</v>
      </c>
      <c r="R43" s="52">
        <f t="shared" si="0"/>
        <v>46.800000000000004</v>
      </c>
      <c r="S43" s="42"/>
    </row>
    <row r="44" spans="1:19" ht="42.75" customHeight="1" x14ac:dyDescent="0.3">
      <c r="A44" s="47" t="s">
        <v>231</v>
      </c>
      <c r="B44" s="46" t="s">
        <v>305</v>
      </c>
      <c r="C44" s="42" t="s">
        <v>229</v>
      </c>
      <c r="D44" s="42"/>
      <c r="E44" s="42">
        <v>0</v>
      </c>
      <c r="F44" s="51">
        <v>0</v>
      </c>
      <c r="G44" s="51">
        <v>0</v>
      </c>
      <c r="H44" s="51">
        <v>2008.9999999999998</v>
      </c>
      <c r="I44" s="59">
        <v>77.400000000000006</v>
      </c>
      <c r="J44" s="59">
        <v>304.56</v>
      </c>
      <c r="K44" s="59">
        <v>0</v>
      </c>
      <c r="L44" s="59">
        <v>40.179999999999993</v>
      </c>
      <c r="M44" s="59">
        <v>0</v>
      </c>
      <c r="N44" s="59">
        <v>0</v>
      </c>
      <c r="O44" s="59">
        <v>0</v>
      </c>
      <c r="P44" s="59">
        <v>0</v>
      </c>
      <c r="Q44" s="59">
        <v>200.89999999999998</v>
      </c>
      <c r="R44" s="52">
        <f t="shared" si="0"/>
        <v>2632.0399999999995</v>
      </c>
      <c r="S44" s="42"/>
    </row>
    <row r="45" spans="1:19" ht="42.75" customHeight="1" x14ac:dyDescent="0.3">
      <c r="A45" s="47" t="s">
        <v>231</v>
      </c>
      <c r="B45" s="46" t="s">
        <v>304</v>
      </c>
      <c r="C45" s="42" t="s">
        <v>229</v>
      </c>
      <c r="D45" s="42"/>
      <c r="E45" s="42">
        <v>0</v>
      </c>
      <c r="F45" s="51">
        <v>0</v>
      </c>
      <c r="G45" s="51">
        <v>0</v>
      </c>
      <c r="H45" s="51">
        <v>0</v>
      </c>
      <c r="I45" s="59">
        <v>0</v>
      </c>
      <c r="J45" s="59">
        <v>293.28000000000003</v>
      </c>
      <c r="K45" s="59">
        <v>0</v>
      </c>
      <c r="L45" s="59">
        <v>0</v>
      </c>
      <c r="M45" s="59">
        <v>0</v>
      </c>
      <c r="N45" s="59">
        <v>0</v>
      </c>
      <c r="O45" s="59">
        <v>0</v>
      </c>
      <c r="P45" s="59">
        <v>0</v>
      </c>
      <c r="Q45" s="59">
        <v>0</v>
      </c>
      <c r="R45" s="52">
        <f t="shared" si="0"/>
        <v>293.28000000000003</v>
      </c>
      <c r="S45" s="42"/>
    </row>
    <row r="46" spans="1:19" ht="42.75" customHeight="1" x14ac:dyDescent="0.3">
      <c r="A46" s="47" t="s">
        <v>231</v>
      </c>
      <c r="B46" s="46" t="s">
        <v>303</v>
      </c>
      <c r="C46" s="42" t="s">
        <v>229</v>
      </c>
      <c r="D46" s="42"/>
      <c r="E46" s="42">
        <v>0</v>
      </c>
      <c r="F46" s="51">
        <v>0</v>
      </c>
      <c r="G46" s="51">
        <v>0</v>
      </c>
      <c r="H46" s="51">
        <v>1820</v>
      </c>
      <c r="I46" s="59">
        <v>0</v>
      </c>
      <c r="J46" s="59">
        <v>0</v>
      </c>
      <c r="K46" s="59">
        <v>0</v>
      </c>
      <c r="L46" s="59">
        <v>36.4</v>
      </c>
      <c r="M46" s="59">
        <v>0</v>
      </c>
      <c r="N46" s="59">
        <v>0</v>
      </c>
      <c r="O46" s="59">
        <v>0</v>
      </c>
      <c r="P46" s="59">
        <v>0</v>
      </c>
      <c r="Q46" s="59">
        <v>182</v>
      </c>
      <c r="R46" s="52">
        <f t="shared" si="0"/>
        <v>2038.4</v>
      </c>
      <c r="S46" s="42"/>
    </row>
    <row r="47" spans="1:19" ht="42.75" customHeight="1" x14ac:dyDescent="0.3">
      <c r="A47" s="47" t="s">
        <v>231</v>
      </c>
      <c r="B47" s="46" t="s">
        <v>302</v>
      </c>
      <c r="C47" s="42" t="s">
        <v>240</v>
      </c>
      <c r="D47" s="42"/>
      <c r="E47" s="42">
        <v>3355.5000000000005</v>
      </c>
      <c r="F47" s="51">
        <v>0</v>
      </c>
      <c r="G47" s="51">
        <v>0</v>
      </c>
      <c r="H47" s="51">
        <v>35000</v>
      </c>
      <c r="I47" s="59">
        <v>900</v>
      </c>
      <c r="J47" s="59">
        <v>5640</v>
      </c>
      <c r="K47" s="59">
        <v>0</v>
      </c>
      <c r="L47" s="59">
        <v>700</v>
      </c>
      <c r="M47" s="59">
        <v>2249.8000000000002</v>
      </c>
      <c r="N47" s="59">
        <v>0</v>
      </c>
      <c r="O47" s="59">
        <v>0</v>
      </c>
      <c r="P47" s="59">
        <v>6749.4000000000005</v>
      </c>
      <c r="Q47" s="59">
        <v>3500</v>
      </c>
      <c r="R47" s="52">
        <f t="shared" si="0"/>
        <v>58094.700000000004</v>
      </c>
      <c r="S47" s="42"/>
    </row>
    <row r="48" spans="1:19" ht="42.75" customHeight="1" x14ac:dyDescent="0.3">
      <c r="A48" s="47" t="s">
        <v>231</v>
      </c>
      <c r="B48" s="46" t="s">
        <v>301</v>
      </c>
      <c r="C48" s="42" t="s">
        <v>240</v>
      </c>
      <c r="D48" s="42"/>
      <c r="E48" s="42">
        <v>712.8</v>
      </c>
      <c r="F48" s="51">
        <v>0</v>
      </c>
      <c r="G48" s="51">
        <v>0</v>
      </c>
      <c r="H48" s="51">
        <v>3055.5</v>
      </c>
      <c r="I48" s="59">
        <v>78.84</v>
      </c>
      <c r="J48" s="59">
        <v>494.06400000000002</v>
      </c>
      <c r="K48" s="59">
        <v>0</v>
      </c>
      <c r="L48" s="59">
        <v>61.11</v>
      </c>
      <c r="M48" s="59">
        <v>232.26</v>
      </c>
      <c r="N48" s="59">
        <v>0</v>
      </c>
      <c r="O48" s="59">
        <v>0</v>
      </c>
      <c r="P48" s="59">
        <v>696.78</v>
      </c>
      <c r="Q48" s="59">
        <v>305.55</v>
      </c>
      <c r="R48" s="52">
        <f t="shared" si="0"/>
        <v>5636.9040000000005</v>
      </c>
      <c r="S48" s="42"/>
    </row>
    <row r="49" spans="1:19" ht="42.75" customHeight="1" x14ac:dyDescent="0.3">
      <c r="A49" s="47" t="s">
        <v>231</v>
      </c>
      <c r="B49" s="46" t="s">
        <v>300</v>
      </c>
      <c r="C49" s="42" t="s">
        <v>240</v>
      </c>
      <c r="D49" s="42"/>
      <c r="E49" s="42">
        <v>712.8</v>
      </c>
      <c r="F49" s="51">
        <v>0</v>
      </c>
      <c r="G49" s="51">
        <v>0</v>
      </c>
      <c r="H49" s="51">
        <v>0</v>
      </c>
      <c r="I49" s="59">
        <v>0</v>
      </c>
      <c r="J49" s="59">
        <v>0</v>
      </c>
      <c r="K49" s="59">
        <v>0</v>
      </c>
      <c r="L49" s="59">
        <v>0</v>
      </c>
      <c r="M49" s="59">
        <v>232.11999999999998</v>
      </c>
      <c r="N49" s="59">
        <v>0</v>
      </c>
      <c r="O49" s="59">
        <v>0</v>
      </c>
      <c r="P49" s="59">
        <v>696.36</v>
      </c>
      <c r="Q49" s="59">
        <v>0</v>
      </c>
      <c r="R49" s="52">
        <f t="shared" si="0"/>
        <v>1641.28</v>
      </c>
      <c r="S49" s="42"/>
    </row>
    <row r="50" spans="1:19" ht="42.75" customHeight="1" x14ac:dyDescent="0.3">
      <c r="A50" s="47" t="s">
        <v>231</v>
      </c>
      <c r="B50" s="46" t="s">
        <v>299</v>
      </c>
      <c r="C50" s="42" t="s">
        <v>240</v>
      </c>
      <c r="D50" s="49"/>
      <c r="E50" s="49">
        <v>0</v>
      </c>
      <c r="F50" s="51">
        <v>0</v>
      </c>
      <c r="G50" s="51">
        <v>0</v>
      </c>
      <c r="H50" s="51">
        <v>35605.5</v>
      </c>
      <c r="I50" s="59">
        <v>915.66</v>
      </c>
      <c r="J50" s="59">
        <v>5741.5199999999995</v>
      </c>
      <c r="K50" s="59">
        <v>0</v>
      </c>
      <c r="L50" s="59">
        <v>712.11</v>
      </c>
      <c r="M50" s="59">
        <v>0</v>
      </c>
      <c r="N50" s="59">
        <v>0</v>
      </c>
      <c r="O50" s="59">
        <v>0</v>
      </c>
      <c r="P50" s="59">
        <v>0</v>
      </c>
      <c r="Q50" s="59">
        <v>3560.55</v>
      </c>
      <c r="R50" s="52">
        <f t="shared" si="0"/>
        <v>46535.340000000004</v>
      </c>
      <c r="S50" s="42"/>
    </row>
    <row r="51" spans="1:19" ht="42.75" customHeight="1" x14ac:dyDescent="0.3">
      <c r="A51" s="47" t="s">
        <v>231</v>
      </c>
      <c r="B51" s="46" t="s">
        <v>298</v>
      </c>
      <c r="C51" s="42" t="s">
        <v>229</v>
      </c>
      <c r="D51" s="42"/>
      <c r="E51" s="42">
        <v>0</v>
      </c>
      <c r="F51" s="51">
        <v>0</v>
      </c>
      <c r="G51" s="51">
        <v>0</v>
      </c>
      <c r="H51" s="51">
        <v>7000</v>
      </c>
      <c r="I51" s="59">
        <v>0</v>
      </c>
      <c r="J51" s="59">
        <v>0</v>
      </c>
      <c r="K51" s="59">
        <v>0</v>
      </c>
      <c r="L51" s="59">
        <v>140</v>
      </c>
      <c r="M51" s="59">
        <v>0</v>
      </c>
      <c r="N51" s="59">
        <v>0</v>
      </c>
      <c r="O51" s="59">
        <v>0</v>
      </c>
      <c r="P51" s="59">
        <v>0</v>
      </c>
      <c r="Q51" s="59">
        <v>700</v>
      </c>
      <c r="R51" s="52">
        <f t="shared" si="0"/>
        <v>7840</v>
      </c>
      <c r="S51" s="42"/>
    </row>
    <row r="52" spans="1:19" ht="42.75" customHeight="1" x14ac:dyDescent="0.3">
      <c r="A52" s="47" t="s">
        <v>297</v>
      </c>
      <c r="B52" s="46" t="s">
        <v>296</v>
      </c>
      <c r="C52" s="42" t="s">
        <v>229</v>
      </c>
      <c r="D52" s="45" t="s">
        <v>262</v>
      </c>
      <c r="E52" s="42">
        <v>0</v>
      </c>
      <c r="F52" s="51">
        <v>0</v>
      </c>
      <c r="G52" s="51">
        <v>0</v>
      </c>
      <c r="H52" s="51">
        <v>0</v>
      </c>
      <c r="I52" s="59">
        <v>180</v>
      </c>
      <c r="J52" s="59">
        <v>1128</v>
      </c>
      <c r="K52" s="59">
        <v>0</v>
      </c>
      <c r="L52" s="59">
        <v>0</v>
      </c>
      <c r="M52" s="59">
        <v>0</v>
      </c>
      <c r="N52" s="59">
        <v>0</v>
      </c>
      <c r="O52" s="59">
        <v>0</v>
      </c>
      <c r="P52" s="59">
        <v>0</v>
      </c>
      <c r="Q52" s="59">
        <v>0</v>
      </c>
      <c r="R52" s="52">
        <f t="shared" si="0"/>
        <v>1308</v>
      </c>
      <c r="S52" s="42"/>
    </row>
    <row r="53" spans="1:19" ht="42.75" customHeight="1" x14ac:dyDescent="0.3">
      <c r="A53" s="47" t="s">
        <v>231</v>
      </c>
      <c r="B53" s="46" t="s">
        <v>295</v>
      </c>
      <c r="C53" s="42" t="s">
        <v>229</v>
      </c>
      <c r="D53" s="49"/>
      <c r="E53" s="49">
        <v>300</v>
      </c>
      <c r="F53" s="51">
        <v>0</v>
      </c>
      <c r="G53" s="51">
        <v>0</v>
      </c>
      <c r="H53" s="51">
        <v>1750</v>
      </c>
      <c r="I53" s="59">
        <v>0</v>
      </c>
      <c r="J53" s="59">
        <v>564</v>
      </c>
      <c r="K53" s="59">
        <v>0</v>
      </c>
      <c r="L53" s="59">
        <v>35</v>
      </c>
      <c r="M53" s="59">
        <v>70</v>
      </c>
      <c r="N53" s="59">
        <v>0</v>
      </c>
      <c r="O53" s="59">
        <v>0</v>
      </c>
      <c r="P53" s="59">
        <v>210</v>
      </c>
      <c r="Q53" s="59">
        <v>175</v>
      </c>
      <c r="R53" s="52">
        <f t="shared" si="0"/>
        <v>3104</v>
      </c>
      <c r="S53" s="42"/>
    </row>
    <row r="54" spans="1:19" ht="42.75" customHeight="1" x14ac:dyDescent="0.3">
      <c r="A54" s="47" t="s">
        <v>231</v>
      </c>
      <c r="B54" s="46" t="s">
        <v>294</v>
      </c>
      <c r="C54" s="42" t="s">
        <v>229</v>
      </c>
      <c r="D54" s="49"/>
      <c r="E54" s="49">
        <v>150</v>
      </c>
      <c r="F54" s="51">
        <v>0</v>
      </c>
      <c r="G54" s="51">
        <v>0</v>
      </c>
      <c r="H54" s="51">
        <v>5250</v>
      </c>
      <c r="I54" s="59">
        <v>180</v>
      </c>
      <c r="J54" s="59">
        <v>1128</v>
      </c>
      <c r="K54" s="59">
        <v>0</v>
      </c>
      <c r="L54" s="59">
        <v>105</v>
      </c>
      <c r="M54" s="59">
        <v>350</v>
      </c>
      <c r="N54" s="59">
        <v>0</v>
      </c>
      <c r="O54" s="59">
        <v>0</v>
      </c>
      <c r="P54" s="59">
        <v>1050</v>
      </c>
      <c r="Q54" s="59">
        <v>525</v>
      </c>
      <c r="R54" s="52">
        <f t="shared" si="0"/>
        <v>8738</v>
      </c>
      <c r="S54" s="42"/>
    </row>
    <row r="55" spans="1:19" ht="42.75" customHeight="1" x14ac:dyDescent="0.3">
      <c r="A55" s="47" t="s">
        <v>231</v>
      </c>
      <c r="B55" s="46" t="s">
        <v>293</v>
      </c>
      <c r="C55" s="42" t="s">
        <v>229</v>
      </c>
      <c r="D55" s="42"/>
      <c r="E55" s="42">
        <v>300</v>
      </c>
      <c r="F55" s="51">
        <v>0</v>
      </c>
      <c r="G55" s="51">
        <v>0</v>
      </c>
      <c r="H55" s="51">
        <v>5250</v>
      </c>
      <c r="I55" s="59">
        <v>180</v>
      </c>
      <c r="J55" s="59">
        <v>1128</v>
      </c>
      <c r="K55" s="59">
        <v>0</v>
      </c>
      <c r="L55" s="59">
        <v>105</v>
      </c>
      <c r="M55" s="59">
        <v>490</v>
      </c>
      <c r="N55" s="59">
        <v>0</v>
      </c>
      <c r="O55" s="59">
        <v>0</v>
      </c>
      <c r="P55" s="59">
        <v>1470</v>
      </c>
      <c r="Q55" s="59">
        <v>525</v>
      </c>
      <c r="R55" s="52">
        <f t="shared" si="0"/>
        <v>9448</v>
      </c>
      <c r="S55" s="42"/>
    </row>
    <row r="56" spans="1:19" ht="42.75" customHeight="1" x14ac:dyDescent="0.3">
      <c r="A56" s="47" t="s">
        <v>231</v>
      </c>
      <c r="B56" s="46" t="s">
        <v>292</v>
      </c>
      <c r="C56" s="42" t="s">
        <v>229</v>
      </c>
      <c r="D56" s="49"/>
      <c r="E56" s="49">
        <v>225</v>
      </c>
      <c r="F56" s="51">
        <v>0</v>
      </c>
      <c r="G56" s="51">
        <v>0</v>
      </c>
      <c r="H56" s="51">
        <v>3500</v>
      </c>
      <c r="I56" s="59">
        <v>90</v>
      </c>
      <c r="J56" s="59">
        <v>564</v>
      </c>
      <c r="K56" s="59">
        <v>0</v>
      </c>
      <c r="L56" s="59">
        <v>70</v>
      </c>
      <c r="M56" s="59">
        <v>280</v>
      </c>
      <c r="N56" s="59">
        <v>0</v>
      </c>
      <c r="O56" s="59">
        <v>0</v>
      </c>
      <c r="P56" s="59">
        <v>840</v>
      </c>
      <c r="Q56" s="59">
        <v>350</v>
      </c>
      <c r="R56" s="52">
        <f t="shared" si="0"/>
        <v>5919</v>
      </c>
      <c r="S56" s="42"/>
    </row>
    <row r="57" spans="1:19" ht="42.75" customHeight="1" x14ac:dyDescent="0.3">
      <c r="A57" s="47" t="s">
        <v>231</v>
      </c>
      <c r="B57" s="46" t="s">
        <v>291</v>
      </c>
      <c r="C57" s="42" t="s">
        <v>229</v>
      </c>
      <c r="D57" s="42"/>
      <c r="E57" s="42">
        <v>750</v>
      </c>
      <c r="F57" s="51">
        <v>0</v>
      </c>
      <c r="G57" s="51">
        <v>0</v>
      </c>
      <c r="H57" s="51">
        <v>17500</v>
      </c>
      <c r="I57" s="59">
        <v>540</v>
      </c>
      <c r="J57" s="59">
        <v>3384</v>
      </c>
      <c r="K57" s="59">
        <v>0</v>
      </c>
      <c r="L57" s="59">
        <v>350</v>
      </c>
      <c r="M57" s="59">
        <v>910</v>
      </c>
      <c r="N57" s="59">
        <v>0</v>
      </c>
      <c r="O57" s="59">
        <v>0</v>
      </c>
      <c r="P57" s="59">
        <v>2730</v>
      </c>
      <c r="Q57" s="59">
        <v>1750</v>
      </c>
      <c r="R57" s="52">
        <f t="shared" si="0"/>
        <v>27914</v>
      </c>
      <c r="S57" s="42"/>
    </row>
    <row r="58" spans="1:19" ht="42.75" customHeight="1" x14ac:dyDescent="0.3">
      <c r="A58" s="47" t="s">
        <v>231</v>
      </c>
      <c r="B58" s="46" t="s">
        <v>290</v>
      </c>
      <c r="C58" s="42" t="s">
        <v>229</v>
      </c>
      <c r="D58" s="49"/>
      <c r="E58" s="49">
        <v>0</v>
      </c>
      <c r="F58" s="51">
        <v>0</v>
      </c>
      <c r="G58" s="51">
        <v>0</v>
      </c>
      <c r="H58" s="51">
        <v>700</v>
      </c>
      <c r="I58" s="59">
        <v>0</v>
      </c>
      <c r="J58" s="59">
        <v>0</v>
      </c>
      <c r="K58" s="59">
        <v>0</v>
      </c>
      <c r="L58" s="59">
        <v>14</v>
      </c>
      <c r="M58" s="59">
        <v>0</v>
      </c>
      <c r="N58" s="59">
        <v>0</v>
      </c>
      <c r="O58" s="59">
        <v>0</v>
      </c>
      <c r="P58" s="59">
        <v>0</v>
      </c>
      <c r="Q58" s="59">
        <v>70</v>
      </c>
      <c r="R58" s="52">
        <f t="shared" si="0"/>
        <v>784</v>
      </c>
      <c r="S58" s="42"/>
    </row>
    <row r="59" spans="1:19" ht="42.75" customHeight="1" x14ac:dyDescent="0.3">
      <c r="A59" s="47" t="s">
        <v>231</v>
      </c>
      <c r="B59" s="46" t="s">
        <v>289</v>
      </c>
      <c r="C59" s="42" t="s">
        <v>229</v>
      </c>
      <c r="D59" s="42"/>
      <c r="E59" s="42">
        <v>0</v>
      </c>
      <c r="F59" s="51">
        <v>0</v>
      </c>
      <c r="G59" s="51">
        <v>0</v>
      </c>
      <c r="H59" s="51">
        <v>1050</v>
      </c>
      <c r="I59" s="59">
        <v>36.000000000000007</v>
      </c>
      <c r="J59" s="59">
        <v>225.60000000000002</v>
      </c>
      <c r="K59" s="59">
        <v>0</v>
      </c>
      <c r="L59" s="59">
        <v>21</v>
      </c>
      <c r="M59" s="59">
        <v>0</v>
      </c>
      <c r="N59" s="59">
        <v>0</v>
      </c>
      <c r="O59" s="59">
        <v>0</v>
      </c>
      <c r="P59" s="59">
        <v>0</v>
      </c>
      <c r="Q59" s="59">
        <v>105</v>
      </c>
      <c r="R59" s="52">
        <f t="shared" si="0"/>
        <v>1437.6</v>
      </c>
      <c r="S59" s="42"/>
    </row>
    <row r="60" spans="1:19" ht="42.75" customHeight="1" x14ac:dyDescent="0.3">
      <c r="A60" s="47" t="s">
        <v>231</v>
      </c>
      <c r="B60" s="46" t="s">
        <v>288</v>
      </c>
      <c r="C60" s="42" t="s">
        <v>229</v>
      </c>
      <c r="D60" s="42"/>
      <c r="E60" s="42">
        <v>0</v>
      </c>
      <c r="F60" s="51">
        <v>0</v>
      </c>
      <c r="G60" s="51">
        <v>0</v>
      </c>
      <c r="H60" s="51">
        <v>700</v>
      </c>
      <c r="I60" s="59">
        <v>18.000000000000004</v>
      </c>
      <c r="J60" s="59">
        <v>112.80000000000001</v>
      </c>
      <c r="K60" s="59">
        <v>0</v>
      </c>
      <c r="L60" s="59">
        <v>14</v>
      </c>
      <c r="M60" s="59">
        <v>0</v>
      </c>
      <c r="N60" s="59">
        <v>0</v>
      </c>
      <c r="O60" s="59">
        <v>0</v>
      </c>
      <c r="P60" s="59">
        <v>0</v>
      </c>
      <c r="Q60" s="59">
        <v>70</v>
      </c>
      <c r="R60" s="52">
        <f t="shared" si="0"/>
        <v>914.8</v>
      </c>
      <c r="S60" s="42"/>
    </row>
    <row r="61" spans="1:19" ht="42.75" customHeight="1" x14ac:dyDescent="0.3">
      <c r="A61" s="47" t="s">
        <v>231</v>
      </c>
      <c r="B61" s="46" t="s">
        <v>287</v>
      </c>
      <c r="C61" s="42" t="s">
        <v>229</v>
      </c>
      <c r="D61" s="42"/>
      <c r="E61" s="42">
        <v>0</v>
      </c>
      <c r="F61" s="51">
        <v>0</v>
      </c>
      <c r="G61" s="51">
        <v>0</v>
      </c>
      <c r="H61" s="51">
        <v>1050</v>
      </c>
      <c r="I61" s="59">
        <v>36.000000000000007</v>
      </c>
      <c r="J61" s="59">
        <v>112.80000000000001</v>
      </c>
      <c r="K61" s="59">
        <v>0</v>
      </c>
      <c r="L61" s="59">
        <v>21</v>
      </c>
      <c r="M61" s="59">
        <v>0</v>
      </c>
      <c r="N61" s="59">
        <v>0</v>
      </c>
      <c r="O61" s="59">
        <v>0</v>
      </c>
      <c r="P61" s="59">
        <v>0</v>
      </c>
      <c r="Q61" s="59">
        <v>105</v>
      </c>
      <c r="R61" s="52">
        <f t="shared" si="0"/>
        <v>1324.8</v>
      </c>
      <c r="S61" s="42"/>
    </row>
    <row r="62" spans="1:19" ht="42.75" customHeight="1" x14ac:dyDescent="0.3">
      <c r="A62" s="47" t="s">
        <v>231</v>
      </c>
      <c r="B62" s="46" t="s">
        <v>286</v>
      </c>
      <c r="C62" s="42" t="s">
        <v>229</v>
      </c>
      <c r="D62" s="42"/>
      <c r="E62" s="42">
        <v>0</v>
      </c>
      <c r="F62" s="51">
        <v>150</v>
      </c>
      <c r="G62" s="51">
        <v>0</v>
      </c>
      <c r="H62" s="51">
        <v>0</v>
      </c>
      <c r="I62" s="59">
        <v>60</v>
      </c>
      <c r="J62" s="59">
        <v>0</v>
      </c>
      <c r="K62" s="59">
        <v>0</v>
      </c>
      <c r="L62" s="59">
        <v>0</v>
      </c>
      <c r="M62" s="59">
        <v>0</v>
      </c>
      <c r="N62" s="59">
        <v>1500</v>
      </c>
      <c r="O62" s="59">
        <v>0</v>
      </c>
      <c r="P62" s="59">
        <v>0</v>
      </c>
      <c r="Q62" s="59">
        <v>0</v>
      </c>
      <c r="R62" s="52">
        <f t="shared" si="0"/>
        <v>1710</v>
      </c>
      <c r="S62" s="42"/>
    </row>
    <row r="63" spans="1:19" ht="42.75" customHeight="1" x14ac:dyDescent="0.3">
      <c r="A63" s="47" t="s">
        <v>231</v>
      </c>
      <c r="B63" s="46" t="s">
        <v>285</v>
      </c>
      <c r="C63" s="42" t="s">
        <v>229</v>
      </c>
      <c r="D63" s="42"/>
      <c r="E63" s="42">
        <v>0</v>
      </c>
      <c r="F63" s="51">
        <v>0</v>
      </c>
      <c r="G63" s="51">
        <v>0</v>
      </c>
      <c r="H63" s="51">
        <v>1050</v>
      </c>
      <c r="I63" s="59">
        <v>26.999999999999996</v>
      </c>
      <c r="J63" s="59">
        <v>0</v>
      </c>
      <c r="K63" s="59">
        <v>0</v>
      </c>
      <c r="L63" s="59">
        <v>21</v>
      </c>
      <c r="M63" s="59">
        <v>0</v>
      </c>
      <c r="N63" s="59">
        <v>0</v>
      </c>
      <c r="O63" s="59">
        <v>0</v>
      </c>
      <c r="P63" s="59">
        <v>0</v>
      </c>
      <c r="Q63" s="59">
        <v>105</v>
      </c>
      <c r="R63" s="52">
        <f t="shared" si="0"/>
        <v>1203</v>
      </c>
      <c r="S63" s="42"/>
    </row>
    <row r="64" spans="1:19" ht="42.75" customHeight="1" x14ac:dyDescent="0.3">
      <c r="A64" s="47" t="s">
        <v>231</v>
      </c>
      <c r="B64" s="46" t="s">
        <v>284</v>
      </c>
      <c r="C64" s="42" t="s">
        <v>240</v>
      </c>
      <c r="D64" s="42"/>
      <c r="E64" s="42">
        <v>0</v>
      </c>
      <c r="F64" s="51">
        <v>0</v>
      </c>
      <c r="G64" s="51">
        <v>0</v>
      </c>
      <c r="H64" s="51">
        <v>10006.5</v>
      </c>
      <c r="I64" s="59">
        <v>0</v>
      </c>
      <c r="J64" s="59">
        <v>0</v>
      </c>
      <c r="K64" s="59">
        <v>0</v>
      </c>
      <c r="L64" s="59">
        <v>200.13</v>
      </c>
      <c r="M64" s="59">
        <v>0</v>
      </c>
      <c r="N64" s="59">
        <v>0</v>
      </c>
      <c r="O64" s="59">
        <v>0</v>
      </c>
      <c r="P64" s="59">
        <v>0</v>
      </c>
      <c r="Q64" s="59">
        <v>1000.65</v>
      </c>
      <c r="R64" s="52">
        <f t="shared" si="0"/>
        <v>11207.279999999999</v>
      </c>
      <c r="S64" s="42"/>
    </row>
    <row r="65" spans="1:19" ht="42.75" customHeight="1" x14ac:dyDescent="0.3">
      <c r="A65" s="47" t="s">
        <v>231</v>
      </c>
      <c r="B65" s="46" t="s">
        <v>283</v>
      </c>
      <c r="C65" s="42" t="s">
        <v>229</v>
      </c>
      <c r="D65" s="42"/>
      <c r="E65" s="42">
        <v>0</v>
      </c>
      <c r="F65" s="51">
        <v>0</v>
      </c>
      <c r="G65" s="51">
        <v>0</v>
      </c>
      <c r="H65" s="51">
        <v>287000</v>
      </c>
      <c r="I65" s="59">
        <v>13320</v>
      </c>
      <c r="J65" s="59">
        <v>83472</v>
      </c>
      <c r="K65" s="59">
        <v>0</v>
      </c>
      <c r="L65" s="59">
        <v>5740</v>
      </c>
      <c r="M65" s="59">
        <v>0</v>
      </c>
      <c r="N65" s="59">
        <v>0</v>
      </c>
      <c r="O65" s="59">
        <v>0</v>
      </c>
      <c r="P65" s="59">
        <v>0</v>
      </c>
      <c r="Q65" s="59">
        <v>28700</v>
      </c>
      <c r="R65" s="52">
        <f t="shared" si="0"/>
        <v>418232</v>
      </c>
      <c r="S65" s="42"/>
    </row>
    <row r="66" spans="1:19" ht="42.75" customHeight="1" x14ac:dyDescent="0.3">
      <c r="A66" s="47" t="s">
        <v>231</v>
      </c>
      <c r="B66" s="46" t="s">
        <v>282</v>
      </c>
      <c r="C66" s="42" t="s">
        <v>229</v>
      </c>
      <c r="D66" s="42"/>
      <c r="E66" s="42">
        <v>0</v>
      </c>
      <c r="F66" s="51">
        <v>0</v>
      </c>
      <c r="G66" s="51">
        <v>0</v>
      </c>
      <c r="H66" s="51">
        <v>28000</v>
      </c>
      <c r="I66" s="59">
        <v>4140</v>
      </c>
      <c r="J66" s="59">
        <v>22560</v>
      </c>
      <c r="K66" s="59">
        <v>0</v>
      </c>
      <c r="L66" s="59">
        <v>560</v>
      </c>
      <c r="M66" s="59">
        <v>0</v>
      </c>
      <c r="N66" s="59">
        <v>0</v>
      </c>
      <c r="O66" s="59">
        <v>0</v>
      </c>
      <c r="P66" s="59">
        <v>0</v>
      </c>
      <c r="Q66" s="59">
        <v>2800</v>
      </c>
      <c r="R66" s="52">
        <f t="shared" si="0"/>
        <v>58060</v>
      </c>
      <c r="S66" s="42"/>
    </row>
    <row r="67" spans="1:19" ht="42.75" customHeight="1" x14ac:dyDescent="0.3">
      <c r="A67" s="47" t="s">
        <v>231</v>
      </c>
      <c r="B67" s="46" t="s">
        <v>281</v>
      </c>
      <c r="C67" s="42" t="s">
        <v>229</v>
      </c>
      <c r="D67" s="49"/>
      <c r="E67" s="49">
        <v>0</v>
      </c>
      <c r="F67" s="51">
        <v>0</v>
      </c>
      <c r="G67" s="51">
        <v>0</v>
      </c>
      <c r="H67" s="51">
        <v>357000</v>
      </c>
      <c r="I67" s="59">
        <v>12600</v>
      </c>
      <c r="J67" s="59">
        <v>82344</v>
      </c>
      <c r="K67" s="59">
        <v>0</v>
      </c>
      <c r="L67" s="59">
        <v>7140</v>
      </c>
      <c r="M67" s="59">
        <v>0</v>
      </c>
      <c r="N67" s="59">
        <v>0</v>
      </c>
      <c r="O67" s="59">
        <v>0</v>
      </c>
      <c r="P67" s="59">
        <v>0</v>
      </c>
      <c r="Q67" s="59">
        <v>35700</v>
      </c>
      <c r="R67" s="52">
        <f t="shared" ref="R67:R105" si="1">SUM(E67:Q67)</f>
        <v>494784</v>
      </c>
      <c r="S67" s="42"/>
    </row>
    <row r="68" spans="1:19" ht="42.75" customHeight="1" x14ac:dyDescent="0.3">
      <c r="A68" s="47" t="s">
        <v>231</v>
      </c>
      <c r="B68" s="46" t="s">
        <v>280</v>
      </c>
      <c r="C68" s="42" t="s">
        <v>229</v>
      </c>
      <c r="D68" s="49"/>
      <c r="E68" s="49">
        <v>0</v>
      </c>
      <c r="F68" s="51">
        <v>0</v>
      </c>
      <c r="G68" s="51">
        <v>0</v>
      </c>
      <c r="H68" s="51">
        <v>336000</v>
      </c>
      <c r="I68" s="59">
        <v>15300</v>
      </c>
      <c r="J68" s="59">
        <v>80088</v>
      </c>
      <c r="K68" s="59">
        <v>0</v>
      </c>
      <c r="L68" s="59">
        <v>6720</v>
      </c>
      <c r="M68" s="59">
        <v>0</v>
      </c>
      <c r="N68" s="59">
        <v>0</v>
      </c>
      <c r="O68" s="59">
        <v>0</v>
      </c>
      <c r="P68" s="59">
        <v>0</v>
      </c>
      <c r="Q68" s="59">
        <v>33600</v>
      </c>
      <c r="R68" s="52">
        <f t="shared" si="1"/>
        <v>471708</v>
      </c>
      <c r="S68" s="42"/>
    </row>
    <row r="69" spans="1:19" ht="42.75" customHeight="1" x14ac:dyDescent="0.3">
      <c r="A69" s="47" t="s">
        <v>231</v>
      </c>
      <c r="B69" s="46" t="s">
        <v>279</v>
      </c>
      <c r="C69" s="42" t="s">
        <v>229</v>
      </c>
      <c r="D69" s="49"/>
      <c r="E69" s="49">
        <v>0</v>
      </c>
      <c r="F69" s="51">
        <v>0</v>
      </c>
      <c r="G69" s="51">
        <v>0</v>
      </c>
      <c r="H69" s="51">
        <v>245000</v>
      </c>
      <c r="I69" s="59">
        <v>12600</v>
      </c>
      <c r="J69" s="59">
        <v>78960</v>
      </c>
      <c r="K69" s="59">
        <v>0</v>
      </c>
      <c r="L69" s="59">
        <v>4900</v>
      </c>
      <c r="M69" s="59">
        <v>0</v>
      </c>
      <c r="N69" s="59">
        <v>0</v>
      </c>
      <c r="O69" s="59">
        <v>0</v>
      </c>
      <c r="P69" s="59">
        <v>0</v>
      </c>
      <c r="Q69" s="59">
        <v>24500</v>
      </c>
      <c r="R69" s="52">
        <f t="shared" si="1"/>
        <v>365960</v>
      </c>
      <c r="S69" s="42"/>
    </row>
    <row r="70" spans="1:19" ht="42.75" customHeight="1" x14ac:dyDescent="0.3">
      <c r="A70" s="47" t="s">
        <v>231</v>
      </c>
      <c r="B70" s="46" t="s">
        <v>278</v>
      </c>
      <c r="C70" s="42" t="s">
        <v>229</v>
      </c>
      <c r="D70" s="49"/>
      <c r="E70" s="49">
        <v>0</v>
      </c>
      <c r="F70" s="51">
        <v>0</v>
      </c>
      <c r="G70" s="51">
        <v>0</v>
      </c>
      <c r="H70" s="51">
        <v>0</v>
      </c>
      <c r="I70" s="59">
        <v>2340</v>
      </c>
      <c r="J70" s="59">
        <v>0</v>
      </c>
      <c r="K70" s="59">
        <v>0</v>
      </c>
      <c r="L70" s="59">
        <v>0</v>
      </c>
      <c r="M70" s="59">
        <v>0</v>
      </c>
      <c r="N70" s="59">
        <v>0</v>
      </c>
      <c r="O70" s="59">
        <v>0</v>
      </c>
      <c r="P70" s="59">
        <v>0</v>
      </c>
      <c r="Q70" s="59">
        <v>0</v>
      </c>
      <c r="R70" s="52">
        <f t="shared" si="1"/>
        <v>2340</v>
      </c>
      <c r="S70" s="42"/>
    </row>
    <row r="71" spans="1:19" ht="42.75" customHeight="1" x14ac:dyDescent="0.3">
      <c r="A71" s="47" t="s">
        <v>231</v>
      </c>
      <c r="B71" s="46" t="s">
        <v>277</v>
      </c>
      <c r="C71" s="42" t="s">
        <v>229</v>
      </c>
      <c r="D71" s="49"/>
      <c r="E71" s="49">
        <v>300</v>
      </c>
      <c r="F71" s="51">
        <v>240</v>
      </c>
      <c r="G71" s="51">
        <v>150</v>
      </c>
      <c r="H71" s="51">
        <v>11200</v>
      </c>
      <c r="I71" s="59">
        <v>360</v>
      </c>
      <c r="J71" s="59">
        <v>1974</v>
      </c>
      <c r="K71" s="59">
        <v>705</v>
      </c>
      <c r="L71" s="59">
        <v>224</v>
      </c>
      <c r="M71" s="59">
        <v>455</v>
      </c>
      <c r="N71" s="59">
        <v>2400</v>
      </c>
      <c r="O71" s="59">
        <v>3500</v>
      </c>
      <c r="P71" s="59">
        <v>1365</v>
      </c>
      <c r="Q71" s="59">
        <v>1120</v>
      </c>
      <c r="R71" s="52">
        <f t="shared" si="1"/>
        <v>23993</v>
      </c>
      <c r="S71" s="42"/>
    </row>
    <row r="72" spans="1:19" ht="42.75" customHeight="1" x14ac:dyDescent="0.3">
      <c r="A72" s="47" t="s">
        <v>231</v>
      </c>
      <c r="B72" s="46" t="s">
        <v>276</v>
      </c>
      <c r="C72" s="42" t="s">
        <v>229</v>
      </c>
      <c r="D72" s="49"/>
      <c r="E72" s="49">
        <v>0</v>
      </c>
      <c r="F72" s="51">
        <v>0</v>
      </c>
      <c r="G72" s="51">
        <v>0</v>
      </c>
      <c r="H72" s="51">
        <v>21000</v>
      </c>
      <c r="I72" s="59">
        <v>1080</v>
      </c>
      <c r="J72" s="59">
        <v>3384</v>
      </c>
      <c r="K72" s="59">
        <v>0</v>
      </c>
      <c r="L72" s="59">
        <v>420</v>
      </c>
      <c r="M72" s="59">
        <v>0</v>
      </c>
      <c r="N72" s="59">
        <v>0</v>
      </c>
      <c r="O72" s="59">
        <v>0</v>
      </c>
      <c r="P72" s="59">
        <v>0</v>
      </c>
      <c r="Q72" s="59">
        <v>2100</v>
      </c>
      <c r="R72" s="52">
        <f t="shared" si="1"/>
        <v>27984</v>
      </c>
      <c r="S72" s="42"/>
    </row>
    <row r="73" spans="1:19" ht="42.75" customHeight="1" x14ac:dyDescent="0.3">
      <c r="A73" s="47" t="s">
        <v>231</v>
      </c>
      <c r="B73" s="46" t="s">
        <v>275</v>
      </c>
      <c r="C73" s="42" t="s">
        <v>229</v>
      </c>
      <c r="D73" s="49"/>
      <c r="E73" s="49">
        <v>0</v>
      </c>
      <c r="F73" s="51">
        <v>0</v>
      </c>
      <c r="G73" s="51">
        <v>0</v>
      </c>
      <c r="H73" s="51">
        <v>70000</v>
      </c>
      <c r="I73" s="59">
        <v>14400</v>
      </c>
      <c r="J73" s="59">
        <v>146640</v>
      </c>
      <c r="K73" s="59">
        <v>0</v>
      </c>
      <c r="L73" s="59">
        <v>1400</v>
      </c>
      <c r="M73" s="59">
        <v>0</v>
      </c>
      <c r="N73" s="59">
        <v>0</v>
      </c>
      <c r="O73" s="59">
        <v>0</v>
      </c>
      <c r="P73" s="59">
        <v>0</v>
      </c>
      <c r="Q73" s="59">
        <v>7000</v>
      </c>
      <c r="R73" s="52">
        <f t="shared" si="1"/>
        <v>239440</v>
      </c>
      <c r="S73" s="42"/>
    </row>
    <row r="74" spans="1:19" ht="42.75" customHeight="1" x14ac:dyDescent="0.3">
      <c r="A74" s="47" t="s">
        <v>231</v>
      </c>
      <c r="B74" s="46" t="s">
        <v>274</v>
      </c>
      <c r="C74" s="42" t="s">
        <v>229</v>
      </c>
      <c r="D74" s="49"/>
      <c r="E74" s="49">
        <v>0</v>
      </c>
      <c r="F74" s="51">
        <v>0</v>
      </c>
      <c r="G74" s="51">
        <v>0</v>
      </c>
      <c r="H74" s="51">
        <v>0</v>
      </c>
      <c r="I74" s="59">
        <v>10800</v>
      </c>
      <c r="J74" s="59">
        <v>67680</v>
      </c>
      <c r="K74" s="59">
        <v>0</v>
      </c>
      <c r="L74" s="59">
        <v>0</v>
      </c>
      <c r="M74" s="59">
        <v>0</v>
      </c>
      <c r="N74" s="59">
        <v>0</v>
      </c>
      <c r="O74" s="59">
        <v>0</v>
      </c>
      <c r="P74" s="59">
        <v>0</v>
      </c>
      <c r="Q74" s="59">
        <v>0</v>
      </c>
      <c r="R74" s="52">
        <f t="shared" si="1"/>
        <v>78480</v>
      </c>
      <c r="S74" s="42"/>
    </row>
    <row r="75" spans="1:19" ht="42.75" customHeight="1" x14ac:dyDescent="0.3">
      <c r="A75" s="47" t="s">
        <v>231</v>
      </c>
      <c r="B75" s="46" t="s">
        <v>273</v>
      </c>
      <c r="C75" s="42" t="s">
        <v>229</v>
      </c>
      <c r="D75" s="42"/>
      <c r="E75" s="42">
        <v>0</v>
      </c>
      <c r="F75" s="51">
        <v>0</v>
      </c>
      <c r="G75" s="51">
        <v>0</v>
      </c>
      <c r="H75" s="51">
        <v>35000</v>
      </c>
      <c r="I75" s="59">
        <v>1800</v>
      </c>
      <c r="J75" s="59">
        <v>11280</v>
      </c>
      <c r="K75" s="59">
        <v>0</v>
      </c>
      <c r="L75" s="59">
        <v>700</v>
      </c>
      <c r="M75" s="59">
        <v>0</v>
      </c>
      <c r="N75" s="59">
        <v>0</v>
      </c>
      <c r="O75" s="59">
        <v>0</v>
      </c>
      <c r="P75" s="59">
        <v>0</v>
      </c>
      <c r="Q75" s="59">
        <v>3500</v>
      </c>
      <c r="R75" s="52">
        <f t="shared" si="1"/>
        <v>52280</v>
      </c>
      <c r="S75" s="42"/>
    </row>
    <row r="76" spans="1:19" ht="42.75" customHeight="1" x14ac:dyDescent="0.3">
      <c r="A76" s="47" t="s">
        <v>231</v>
      </c>
      <c r="B76" s="46" t="s">
        <v>272</v>
      </c>
      <c r="C76" s="42" t="s">
        <v>229</v>
      </c>
      <c r="D76" s="42"/>
      <c r="E76" s="42">
        <v>0</v>
      </c>
      <c r="F76" s="51">
        <v>0</v>
      </c>
      <c r="G76" s="51">
        <v>0</v>
      </c>
      <c r="H76" s="51">
        <v>28000</v>
      </c>
      <c r="I76" s="59">
        <v>720</v>
      </c>
      <c r="J76" s="59">
        <v>4512</v>
      </c>
      <c r="K76" s="59">
        <v>0</v>
      </c>
      <c r="L76" s="59">
        <v>560</v>
      </c>
      <c r="M76" s="59">
        <v>0</v>
      </c>
      <c r="N76" s="59">
        <v>0</v>
      </c>
      <c r="O76" s="59">
        <v>0</v>
      </c>
      <c r="P76" s="59">
        <v>0</v>
      </c>
      <c r="Q76" s="59">
        <v>2800</v>
      </c>
      <c r="R76" s="52">
        <f t="shared" si="1"/>
        <v>36592</v>
      </c>
      <c r="S76" s="42"/>
    </row>
    <row r="77" spans="1:19" ht="42.75" customHeight="1" x14ac:dyDescent="0.3">
      <c r="A77" s="47" t="s">
        <v>231</v>
      </c>
      <c r="B77" s="46" t="s">
        <v>271</v>
      </c>
      <c r="C77" s="42" t="s">
        <v>229</v>
      </c>
      <c r="D77" s="42"/>
      <c r="E77" s="42">
        <v>0</v>
      </c>
      <c r="F77" s="51">
        <v>0</v>
      </c>
      <c r="G77" s="51">
        <v>0</v>
      </c>
      <c r="H77" s="51">
        <v>0</v>
      </c>
      <c r="I77" s="59">
        <v>1440</v>
      </c>
      <c r="J77" s="59">
        <v>0</v>
      </c>
      <c r="K77" s="59">
        <v>0</v>
      </c>
      <c r="L77" s="59">
        <v>0</v>
      </c>
      <c r="M77" s="59">
        <v>0</v>
      </c>
      <c r="N77" s="59">
        <v>0</v>
      </c>
      <c r="O77" s="59">
        <v>0</v>
      </c>
      <c r="P77" s="59">
        <v>0</v>
      </c>
      <c r="Q77" s="59">
        <v>0</v>
      </c>
      <c r="R77" s="52">
        <f t="shared" si="1"/>
        <v>1440</v>
      </c>
      <c r="S77" s="42"/>
    </row>
    <row r="78" spans="1:19" ht="42.75" customHeight="1" x14ac:dyDescent="0.3">
      <c r="A78" s="47" t="s">
        <v>231</v>
      </c>
      <c r="B78" s="46" t="s">
        <v>270</v>
      </c>
      <c r="C78" s="42" t="s">
        <v>229</v>
      </c>
      <c r="D78" s="49"/>
      <c r="E78" s="49">
        <v>0</v>
      </c>
      <c r="F78" s="51">
        <v>0</v>
      </c>
      <c r="G78" s="51">
        <v>0</v>
      </c>
      <c r="H78" s="51">
        <v>0</v>
      </c>
      <c r="I78" s="59">
        <v>10800</v>
      </c>
      <c r="J78" s="59">
        <v>67680</v>
      </c>
      <c r="K78" s="59">
        <v>0</v>
      </c>
      <c r="L78" s="59">
        <v>0</v>
      </c>
      <c r="M78" s="59">
        <v>0</v>
      </c>
      <c r="N78" s="59">
        <v>0</v>
      </c>
      <c r="O78" s="59">
        <v>0</v>
      </c>
      <c r="P78" s="59">
        <v>0</v>
      </c>
      <c r="Q78" s="59">
        <v>0</v>
      </c>
      <c r="R78" s="52">
        <f t="shared" si="1"/>
        <v>78480</v>
      </c>
      <c r="S78" s="42"/>
    </row>
    <row r="79" spans="1:19" ht="42.75" customHeight="1" x14ac:dyDescent="0.3">
      <c r="A79" s="47" t="s">
        <v>231</v>
      </c>
      <c r="B79" s="46" t="s">
        <v>269</v>
      </c>
      <c r="C79" s="42" t="s">
        <v>229</v>
      </c>
      <c r="D79" s="49"/>
      <c r="E79" s="49">
        <v>0</v>
      </c>
      <c r="F79" s="51">
        <v>0</v>
      </c>
      <c r="G79" s="51">
        <v>0</v>
      </c>
      <c r="H79" s="51">
        <v>28000</v>
      </c>
      <c r="I79" s="59">
        <v>1440</v>
      </c>
      <c r="J79" s="59">
        <v>0</v>
      </c>
      <c r="K79" s="59">
        <v>0</v>
      </c>
      <c r="L79" s="59">
        <v>560</v>
      </c>
      <c r="M79" s="59">
        <v>0</v>
      </c>
      <c r="N79" s="59">
        <v>0</v>
      </c>
      <c r="O79" s="59">
        <v>0</v>
      </c>
      <c r="P79" s="59">
        <v>0</v>
      </c>
      <c r="Q79" s="59">
        <v>2800</v>
      </c>
      <c r="R79" s="52">
        <f t="shared" si="1"/>
        <v>32800</v>
      </c>
      <c r="S79" s="42"/>
    </row>
    <row r="80" spans="1:19" ht="42.75" customHeight="1" x14ac:dyDescent="0.3">
      <c r="A80" s="47" t="s">
        <v>231</v>
      </c>
      <c r="B80" s="46" t="s">
        <v>268</v>
      </c>
      <c r="C80" s="42" t="s">
        <v>229</v>
      </c>
      <c r="D80" s="49"/>
      <c r="E80" s="49">
        <v>0</v>
      </c>
      <c r="F80" s="51">
        <v>0</v>
      </c>
      <c r="G80" s="51">
        <v>0</v>
      </c>
      <c r="H80" s="51">
        <v>21000</v>
      </c>
      <c r="I80" s="59">
        <v>540</v>
      </c>
      <c r="J80" s="59">
        <v>3384</v>
      </c>
      <c r="K80" s="59">
        <v>0</v>
      </c>
      <c r="L80" s="59">
        <v>420</v>
      </c>
      <c r="M80" s="59">
        <v>0</v>
      </c>
      <c r="N80" s="59">
        <v>0</v>
      </c>
      <c r="O80" s="59">
        <v>0</v>
      </c>
      <c r="P80" s="59">
        <v>0</v>
      </c>
      <c r="Q80" s="59">
        <v>2100</v>
      </c>
      <c r="R80" s="52">
        <f t="shared" si="1"/>
        <v>27444</v>
      </c>
      <c r="S80" s="42"/>
    </row>
    <row r="81" spans="1:19" ht="42.75" customHeight="1" x14ac:dyDescent="0.3">
      <c r="A81" s="47" t="s">
        <v>231</v>
      </c>
      <c r="B81" s="46" t="s">
        <v>267</v>
      </c>
      <c r="C81" s="42" t="s">
        <v>240</v>
      </c>
      <c r="D81" s="49"/>
      <c r="E81" s="49">
        <v>120</v>
      </c>
      <c r="F81" s="51">
        <v>120</v>
      </c>
      <c r="G81" s="51">
        <v>30</v>
      </c>
      <c r="H81" s="51">
        <v>1400</v>
      </c>
      <c r="I81" s="59">
        <v>120</v>
      </c>
      <c r="J81" s="59">
        <v>846</v>
      </c>
      <c r="K81" s="59">
        <v>141</v>
      </c>
      <c r="L81" s="59">
        <v>28</v>
      </c>
      <c r="M81" s="59">
        <v>70</v>
      </c>
      <c r="N81" s="59">
        <v>1200</v>
      </c>
      <c r="O81" s="59">
        <v>700</v>
      </c>
      <c r="P81" s="59">
        <v>210</v>
      </c>
      <c r="Q81" s="59">
        <v>140</v>
      </c>
      <c r="R81" s="52">
        <f t="shared" si="1"/>
        <v>5125</v>
      </c>
      <c r="S81" s="42"/>
    </row>
    <row r="82" spans="1:19" ht="42.75" customHeight="1" x14ac:dyDescent="0.3">
      <c r="A82" s="47" t="s">
        <v>231</v>
      </c>
      <c r="B82" s="46" t="s">
        <v>266</v>
      </c>
      <c r="C82" s="42" t="s">
        <v>229</v>
      </c>
      <c r="D82" s="49"/>
      <c r="E82" s="49">
        <v>0</v>
      </c>
      <c r="F82" s="51">
        <v>0</v>
      </c>
      <c r="G82" s="51">
        <v>0</v>
      </c>
      <c r="H82" s="51">
        <v>56000</v>
      </c>
      <c r="I82" s="59">
        <v>2880</v>
      </c>
      <c r="J82" s="59">
        <v>9024</v>
      </c>
      <c r="K82" s="59">
        <v>0</v>
      </c>
      <c r="L82" s="59">
        <v>1120</v>
      </c>
      <c r="M82" s="59">
        <v>0</v>
      </c>
      <c r="N82" s="59">
        <v>0</v>
      </c>
      <c r="O82" s="59">
        <v>0</v>
      </c>
      <c r="P82" s="59">
        <v>0</v>
      </c>
      <c r="Q82" s="59">
        <v>5600</v>
      </c>
      <c r="R82" s="52">
        <f t="shared" si="1"/>
        <v>74624</v>
      </c>
      <c r="S82" s="42"/>
    </row>
    <row r="83" spans="1:19" ht="42.75" customHeight="1" x14ac:dyDescent="0.3">
      <c r="A83" s="47" t="s">
        <v>231</v>
      </c>
      <c r="B83" s="46" t="s">
        <v>265</v>
      </c>
      <c r="C83" s="42" t="s">
        <v>229</v>
      </c>
      <c r="D83" s="42"/>
      <c r="E83" s="42">
        <v>0</v>
      </c>
      <c r="F83" s="51">
        <v>0</v>
      </c>
      <c r="G83" s="51">
        <v>0</v>
      </c>
      <c r="H83" s="51">
        <v>42000</v>
      </c>
      <c r="I83" s="59">
        <v>1080</v>
      </c>
      <c r="J83" s="59">
        <v>6768</v>
      </c>
      <c r="K83" s="59">
        <v>0</v>
      </c>
      <c r="L83" s="59">
        <v>840</v>
      </c>
      <c r="M83" s="59">
        <v>0</v>
      </c>
      <c r="N83" s="59">
        <v>0</v>
      </c>
      <c r="O83" s="59">
        <v>0</v>
      </c>
      <c r="P83" s="59">
        <v>0</v>
      </c>
      <c r="Q83" s="59">
        <v>4200</v>
      </c>
      <c r="R83" s="52">
        <f t="shared" si="1"/>
        <v>54888</v>
      </c>
      <c r="S83" s="42"/>
    </row>
    <row r="84" spans="1:19" ht="42.75" customHeight="1" x14ac:dyDescent="0.3">
      <c r="A84" s="47" t="s">
        <v>264</v>
      </c>
      <c r="B84" s="46" t="s">
        <v>263</v>
      </c>
      <c r="C84" s="42" t="s">
        <v>229</v>
      </c>
      <c r="D84" s="48" t="s">
        <v>262</v>
      </c>
      <c r="E84" s="49">
        <v>120</v>
      </c>
      <c r="F84" s="51">
        <v>60</v>
      </c>
      <c r="G84" s="51">
        <v>60</v>
      </c>
      <c r="H84" s="51">
        <v>1400</v>
      </c>
      <c r="I84" s="59">
        <v>180</v>
      </c>
      <c r="J84" s="59">
        <v>564</v>
      </c>
      <c r="K84" s="59">
        <v>282</v>
      </c>
      <c r="L84" s="59">
        <v>28</v>
      </c>
      <c r="M84" s="59">
        <v>70</v>
      </c>
      <c r="N84" s="59">
        <v>600</v>
      </c>
      <c r="O84" s="59">
        <v>1400</v>
      </c>
      <c r="P84" s="59">
        <v>210</v>
      </c>
      <c r="Q84" s="59">
        <v>140</v>
      </c>
      <c r="R84" s="52">
        <f t="shared" si="1"/>
        <v>5114</v>
      </c>
      <c r="S84" s="42"/>
    </row>
    <row r="85" spans="1:19" ht="42.75" customHeight="1" x14ac:dyDescent="0.3">
      <c r="A85" s="47" t="s">
        <v>231</v>
      </c>
      <c r="B85" s="46" t="s">
        <v>261</v>
      </c>
      <c r="C85" s="42" t="s">
        <v>260</v>
      </c>
      <c r="D85" s="42"/>
      <c r="E85" s="42">
        <v>0</v>
      </c>
      <c r="F85" s="51">
        <v>0</v>
      </c>
      <c r="G85" s="51">
        <v>0</v>
      </c>
      <c r="H85" s="51">
        <v>0</v>
      </c>
      <c r="I85" s="59">
        <v>80.099999999999994</v>
      </c>
      <c r="J85" s="59">
        <v>501.96</v>
      </c>
      <c r="K85" s="59">
        <v>0</v>
      </c>
      <c r="L85" s="59">
        <v>0</v>
      </c>
      <c r="M85" s="59">
        <v>0</v>
      </c>
      <c r="N85" s="59">
        <v>0</v>
      </c>
      <c r="O85" s="59">
        <v>0</v>
      </c>
      <c r="P85" s="59">
        <v>0</v>
      </c>
      <c r="Q85" s="59">
        <v>0</v>
      </c>
      <c r="R85" s="52">
        <f t="shared" si="1"/>
        <v>582.05999999999995</v>
      </c>
      <c r="S85" s="42"/>
    </row>
    <row r="86" spans="1:19" ht="42.75" customHeight="1" x14ac:dyDescent="0.3">
      <c r="A86" s="47" t="s">
        <v>256</v>
      </c>
      <c r="B86" s="46" t="s">
        <v>259</v>
      </c>
      <c r="C86" s="42" t="s">
        <v>233</v>
      </c>
      <c r="D86" s="45" t="s">
        <v>232</v>
      </c>
      <c r="E86" s="42">
        <v>3547.6200000000003</v>
      </c>
      <c r="F86" s="51">
        <v>0</v>
      </c>
      <c r="G86" s="51">
        <v>0</v>
      </c>
      <c r="H86" s="51">
        <v>13272</v>
      </c>
      <c r="I86" s="59">
        <v>341.28</v>
      </c>
      <c r="J86" s="59">
        <v>2143.1999999999998</v>
      </c>
      <c r="K86" s="59">
        <v>0</v>
      </c>
      <c r="L86" s="59">
        <v>265.44</v>
      </c>
      <c r="M86" s="59">
        <v>1620.7939999999999</v>
      </c>
      <c r="N86" s="59">
        <v>0</v>
      </c>
      <c r="O86" s="59">
        <v>0</v>
      </c>
      <c r="P86" s="59">
        <v>4862.3819999999996</v>
      </c>
      <c r="Q86" s="59">
        <v>1327.2</v>
      </c>
      <c r="R86" s="52">
        <f t="shared" si="1"/>
        <v>27379.915999999994</v>
      </c>
      <c r="S86" s="42"/>
    </row>
    <row r="87" spans="1:19" ht="42.75" customHeight="1" x14ac:dyDescent="0.3">
      <c r="A87" s="47" t="s">
        <v>256</v>
      </c>
      <c r="B87" s="46" t="s">
        <v>258</v>
      </c>
      <c r="C87" s="42" t="s">
        <v>233</v>
      </c>
      <c r="D87" s="48" t="s">
        <v>232</v>
      </c>
      <c r="E87" s="49">
        <v>0</v>
      </c>
      <c r="F87" s="51">
        <v>0</v>
      </c>
      <c r="G87" s="51">
        <v>1134.1848</v>
      </c>
      <c r="H87" s="51">
        <v>31703</v>
      </c>
      <c r="I87" s="59">
        <v>959.94</v>
      </c>
      <c r="J87" s="59">
        <v>5056.8239999999996</v>
      </c>
      <c r="K87" s="59">
        <v>5330.6685600000001</v>
      </c>
      <c r="L87" s="59">
        <v>634.05999999999995</v>
      </c>
      <c r="M87" s="59">
        <v>0</v>
      </c>
      <c r="N87" s="59">
        <v>0</v>
      </c>
      <c r="O87" s="59">
        <v>26464.311999999998</v>
      </c>
      <c r="P87" s="59">
        <v>0</v>
      </c>
      <c r="Q87" s="59">
        <v>3170.2999999999997</v>
      </c>
      <c r="R87" s="52">
        <f t="shared" si="1"/>
        <v>74453.28936000001</v>
      </c>
      <c r="S87" s="42" t="s">
        <v>257</v>
      </c>
    </row>
    <row r="88" spans="1:19" ht="42.75" customHeight="1" x14ac:dyDescent="0.3">
      <c r="A88" s="47" t="s">
        <v>256</v>
      </c>
      <c r="B88" s="46" t="s">
        <v>255</v>
      </c>
      <c r="C88" s="42" t="s">
        <v>233</v>
      </c>
      <c r="D88" s="48" t="s">
        <v>232</v>
      </c>
      <c r="E88" s="49">
        <v>1377</v>
      </c>
      <c r="F88" s="51">
        <v>0</v>
      </c>
      <c r="G88" s="51">
        <v>0</v>
      </c>
      <c r="H88" s="51">
        <v>0</v>
      </c>
      <c r="I88" s="59">
        <v>0</v>
      </c>
      <c r="J88" s="59">
        <v>0</v>
      </c>
      <c r="K88" s="59">
        <v>0</v>
      </c>
      <c r="L88" s="59">
        <v>0</v>
      </c>
      <c r="M88" s="59">
        <v>0</v>
      </c>
      <c r="N88" s="59">
        <v>0</v>
      </c>
      <c r="O88" s="59">
        <v>0</v>
      </c>
      <c r="P88" s="59">
        <v>0</v>
      </c>
      <c r="Q88" s="59">
        <v>0</v>
      </c>
      <c r="R88" s="52">
        <f t="shared" si="1"/>
        <v>1377</v>
      </c>
      <c r="S88" s="42"/>
    </row>
    <row r="89" spans="1:19" ht="42.75" customHeight="1" x14ac:dyDescent="0.3">
      <c r="A89" s="47" t="s">
        <v>254</v>
      </c>
      <c r="B89" s="46" t="s">
        <v>253</v>
      </c>
      <c r="C89" s="42" t="s">
        <v>240</v>
      </c>
      <c r="D89" s="48" t="s">
        <v>250</v>
      </c>
      <c r="E89" s="49">
        <v>120</v>
      </c>
      <c r="F89" s="51">
        <v>180</v>
      </c>
      <c r="G89" s="51">
        <v>60</v>
      </c>
      <c r="H89" s="51">
        <v>4200</v>
      </c>
      <c r="I89" s="59">
        <v>60</v>
      </c>
      <c r="J89" s="59">
        <v>564</v>
      </c>
      <c r="K89" s="59">
        <v>282</v>
      </c>
      <c r="L89" s="59">
        <v>84</v>
      </c>
      <c r="M89" s="59">
        <v>140</v>
      </c>
      <c r="N89" s="59">
        <v>1800</v>
      </c>
      <c r="O89" s="59">
        <v>1400</v>
      </c>
      <c r="P89" s="59">
        <v>420</v>
      </c>
      <c r="Q89" s="59">
        <v>420</v>
      </c>
      <c r="R89" s="52">
        <f t="shared" si="1"/>
        <v>9730</v>
      </c>
      <c r="S89" s="42"/>
    </row>
    <row r="90" spans="1:19" ht="54.75" customHeight="1" x14ac:dyDescent="0.3">
      <c r="A90" s="47" t="s">
        <v>252</v>
      </c>
      <c r="B90" s="46" t="s">
        <v>251</v>
      </c>
      <c r="C90" s="42" t="s">
        <v>240</v>
      </c>
      <c r="D90" s="48" t="s">
        <v>250</v>
      </c>
      <c r="E90" s="49">
        <v>120</v>
      </c>
      <c r="F90" s="51">
        <v>60</v>
      </c>
      <c r="G90" s="51">
        <v>60</v>
      </c>
      <c r="H90" s="51">
        <v>1400</v>
      </c>
      <c r="I90" s="59">
        <v>120</v>
      </c>
      <c r="J90" s="59">
        <v>846</v>
      </c>
      <c r="K90" s="59">
        <v>282</v>
      </c>
      <c r="L90" s="59">
        <v>28</v>
      </c>
      <c r="M90" s="59">
        <v>140</v>
      </c>
      <c r="N90" s="59">
        <v>600</v>
      </c>
      <c r="O90" s="59">
        <v>1400</v>
      </c>
      <c r="P90" s="59">
        <v>420</v>
      </c>
      <c r="Q90" s="59">
        <v>140</v>
      </c>
      <c r="R90" s="52">
        <f t="shared" si="1"/>
        <v>5616</v>
      </c>
      <c r="S90" s="42"/>
    </row>
    <row r="91" spans="1:19" ht="42.75" customHeight="1" x14ac:dyDescent="0.3">
      <c r="A91" s="47" t="s">
        <v>231</v>
      </c>
      <c r="B91" s="46" t="s">
        <v>249</v>
      </c>
      <c r="C91" s="42" t="s">
        <v>229</v>
      </c>
      <c r="D91" s="42"/>
      <c r="E91" s="42">
        <v>0</v>
      </c>
      <c r="F91" s="51">
        <v>0</v>
      </c>
      <c r="G91" s="51">
        <v>0</v>
      </c>
      <c r="H91" s="51">
        <v>7000</v>
      </c>
      <c r="I91" s="59">
        <v>180</v>
      </c>
      <c r="J91" s="59">
        <v>1128</v>
      </c>
      <c r="K91" s="59">
        <v>0</v>
      </c>
      <c r="L91" s="59">
        <v>140</v>
      </c>
      <c r="M91" s="59">
        <v>0</v>
      </c>
      <c r="N91" s="59">
        <v>0</v>
      </c>
      <c r="O91" s="59">
        <v>0</v>
      </c>
      <c r="P91" s="59">
        <v>0</v>
      </c>
      <c r="Q91" s="59">
        <v>700</v>
      </c>
      <c r="R91" s="52">
        <f t="shared" si="1"/>
        <v>9148</v>
      </c>
      <c r="S91" s="42"/>
    </row>
    <row r="92" spans="1:19" ht="42.75" customHeight="1" x14ac:dyDescent="0.3">
      <c r="A92" s="47" t="s">
        <v>231</v>
      </c>
      <c r="B92" s="46" t="s">
        <v>248</v>
      </c>
      <c r="C92" s="42" t="s">
        <v>229</v>
      </c>
      <c r="D92" s="42"/>
      <c r="E92" s="42">
        <v>300</v>
      </c>
      <c r="F92" s="51">
        <v>0</v>
      </c>
      <c r="G92" s="51">
        <v>0</v>
      </c>
      <c r="H92" s="51">
        <v>3500</v>
      </c>
      <c r="I92" s="59">
        <v>180</v>
      </c>
      <c r="J92" s="59">
        <v>1128</v>
      </c>
      <c r="K92" s="59">
        <v>0</v>
      </c>
      <c r="L92" s="59">
        <v>70</v>
      </c>
      <c r="M92" s="59">
        <v>280</v>
      </c>
      <c r="N92" s="59">
        <v>0</v>
      </c>
      <c r="O92" s="59">
        <v>0</v>
      </c>
      <c r="P92" s="59">
        <v>840</v>
      </c>
      <c r="Q92" s="59">
        <v>350</v>
      </c>
      <c r="R92" s="52">
        <f t="shared" si="1"/>
        <v>6648</v>
      </c>
      <c r="S92" s="42"/>
    </row>
    <row r="93" spans="1:19" ht="42.75" customHeight="1" x14ac:dyDescent="0.3">
      <c r="A93" s="47" t="s">
        <v>231</v>
      </c>
      <c r="B93" s="46" t="s">
        <v>247</v>
      </c>
      <c r="C93" s="42" t="s">
        <v>229</v>
      </c>
      <c r="D93" s="42"/>
      <c r="E93" s="42">
        <v>150</v>
      </c>
      <c r="F93" s="51">
        <v>120</v>
      </c>
      <c r="G93" s="51">
        <v>30</v>
      </c>
      <c r="H93" s="51">
        <v>4200</v>
      </c>
      <c r="I93" s="59">
        <v>120</v>
      </c>
      <c r="J93" s="59">
        <v>846</v>
      </c>
      <c r="K93" s="59">
        <v>141</v>
      </c>
      <c r="L93" s="59">
        <v>84</v>
      </c>
      <c r="M93" s="59">
        <v>280</v>
      </c>
      <c r="N93" s="59">
        <v>1200</v>
      </c>
      <c r="O93" s="59">
        <v>700</v>
      </c>
      <c r="P93" s="59">
        <v>840</v>
      </c>
      <c r="Q93" s="59">
        <v>420</v>
      </c>
      <c r="R93" s="52">
        <f t="shared" si="1"/>
        <v>9131</v>
      </c>
      <c r="S93" s="42"/>
    </row>
    <row r="94" spans="1:19" ht="42.75" customHeight="1" x14ac:dyDescent="0.3">
      <c r="A94" s="47" t="s">
        <v>231</v>
      </c>
      <c r="B94" s="46" t="s">
        <v>246</v>
      </c>
      <c r="C94" s="42" t="s">
        <v>229</v>
      </c>
      <c r="D94" s="42"/>
      <c r="E94" s="42">
        <v>150</v>
      </c>
      <c r="F94" s="51">
        <v>120</v>
      </c>
      <c r="G94" s="51">
        <v>60</v>
      </c>
      <c r="H94" s="51">
        <v>2800</v>
      </c>
      <c r="I94" s="59">
        <v>60</v>
      </c>
      <c r="J94" s="59">
        <v>987</v>
      </c>
      <c r="K94" s="59">
        <v>282</v>
      </c>
      <c r="L94" s="59">
        <v>56</v>
      </c>
      <c r="M94" s="59">
        <v>315</v>
      </c>
      <c r="N94" s="59">
        <v>1200</v>
      </c>
      <c r="O94" s="59">
        <v>1400</v>
      </c>
      <c r="P94" s="59">
        <v>945</v>
      </c>
      <c r="Q94" s="59">
        <v>280</v>
      </c>
      <c r="R94" s="52">
        <f t="shared" si="1"/>
        <v>8655</v>
      </c>
      <c r="S94" s="42" t="s">
        <v>245</v>
      </c>
    </row>
    <row r="95" spans="1:19" ht="42.75" customHeight="1" x14ac:dyDescent="0.3">
      <c r="A95" s="47" t="s">
        <v>231</v>
      </c>
      <c r="B95" s="46" t="s">
        <v>244</v>
      </c>
      <c r="C95" s="42" t="s">
        <v>240</v>
      </c>
      <c r="D95" s="42"/>
      <c r="E95" s="42">
        <v>5700</v>
      </c>
      <c r="F95" s="51">
        <v>0</v>
      </c>
      <c r="G95" s="51">
        <v>0</v>
      </c>
      <c r="H95" s="51">
        <v>101500</v>
      </c>
      <c r="I95" s="59">
        <v>3060</v>
      </c>
      <c r="J95" s="59">
        <v>19176</v>
      </c>
      <c r="K95" s="59">
        <v>0</v>
      </c>
      <c r="L95" s="59">
        <v>2030</v>
      </c>
      <c r="M95" s="59">
        <v>9660</v>
      </c>
      <c r="N95" s="59">
        <v>0</v>
      </c>
      <c r="O95" s="59">
        <v>0</v>
      </c>
      <c r="P95" s="59">
        <v>28980</v>
      </c>
      <c r="Q95" s="59">
        <v>10150</v>
      </c>
      <c r="R95" s="52">
        <f t="shared" si="1"/>
        <v>180256</v>
      </c>
      <c r="S95" s="42"/>
    </row>
    <row r="96" spans="1:19" ht="42.75" customHeight="1" x14ac:dyDescent="0.3">
      <c r="A96" s="47" t="s">
        <v>231</v>
      </c>
      <c r="B96" s="46" t="s">
        <v>243</v>
      </c>
      <c r="C96" s="42" t="s">
        <v>229</v>
      </c>
      <c r="D96" s="42"/>
      <c r="E96" s="42">
        <v>10.500000000000002</v>
      </c>
      <c r="F96" s="51">
        <v>0</v>
      </c>
      <c r="G96" s="51">
        <v>0</v>
      </c>
      <c r="H96" s="51">
        <v>140</v>
      </c>
      <c r="I96" s="59">
        <v>3.5999999999999996</v>
      </c>
      <c r="J96" s="59">
        <v>22.56</v>
      </c>
      <c r="K96" s="59">
        <v>0</v>
      </c>
      <c r="L96" s="59">
        <v>2.8000000000000003</v>
      </c>
      <c r="M96" s="59">
        <v>16.8</v>
      </c>
      <c r="N96" s="59">
        <v>0</v>
      </c>
      <c r="O96" s="59">
        <v>0</v>
      </c>
      <c r="P96" s="59">
        <v>50.4</v>
      </c>
      <c r="Q96" s="59">
        <v>14</v>
      </c>
      <c r="R96" s="52">
        <f t="shared" si="1"/>
        <v>260.66000000000003</v>
      </c>
      <c r="S96" s="42"/>
    </row>
    <row r="97" spans="1:19" ht="42.75" customHeight="1" x14ac:dyDescent="0.3">
      <c r="A97" s="47" t="s">
        <v>231</v>
      </c>
      <c r="B97" s="46" t="s">
        <v>242</v>
      </c>
      <c r="C97" s="42" t="s">
        <v>229</v>
      </c>
      <c r="D97" s="42"/>
      <c r="E97" s="42">
        <v>45</v>
      </c>
      <c r="F97" s="51">
        <v>0</v>
      </c>
      <c r="G97" s="51">
        <v>0</v>
      </c>
      <c r="H97" s="51">
        <v>0</v>
      </c>
      <c r="I97" s="59">
        <v>0</v>
      </c>
      <c r="J97" s="59">
        <v>0</v>
      </c>
      <c r="K97" s="59">
        <v>0</v>
      </c>
      <c r="L97" s="59">
        <v>0</v>
      </c>
      <c r="M97" s="59">
        <v>28</v>
      </c>
      <c r="N97" s="59">
        <v>0</v>
      </c>
      <c r="O97" s="59">
        <v>0</v>
      </c>
      <c r="P97" s="59">
        <v>84</v>
      </c>
      <c r="Q97" s="59">
        <v>0</v>
      </c>
      <c r="R97" s="52">
        <f t="shared" si="1"/>
        <v>157</v>
      </c>
      <c r="S97" s="42"/>
    </row>
    <row r="98" spans="1:19" ht="42.75" customHeight="1" x14ac:dyDescent="0.3">
      <c r="A98" s="47" t="s">
        <v>231</v>
      </c>
      <c r="B98" s="46" t="s">
        <v>241</v>
      </c>
      <c r="C98" s="42" t="s">
        <v>240</v>
      </c>
      <c r="D98" s="42"/>
      <c r="E98" s="42">
        <v>0</v>
      </c>
      <c r="F98" s="51">
        <v>0</v>
      </c>
      <c r="G98" s="51">
        <v>0</v>
      </c>
      <c r="H98" s="51">
        <v>28000</v>
      </c>
      <c r="I98" s="59">
        <v>1440</v>
      </c>
      <c r="J98" s="59">
        <v>9024</v>
      </c>
      <c r="K98" s="59">
        <v>0</v>
      </c>
      <c r="L98" s="59">
        <v>560</v>
      </c>
      <c r="M98" s="59">
        <v>0</v>
      </c>
      <c r="N98" s="59">
        <v>0</v>
      </c>
      <c r="O98" s="59">
        <v>0</v>
      </c>
      <c r="P98" s="59">
        <v>0</v>
      </c>
      <c r="Q98" s="59">
        <v>2800</v>
      </c>
      <c r="R98" s="52">
        <f t="shared" si="1"/>
        <v>41824</v>
      </c>
      <c r="S98" s="42"/>
    </row>
    <row r="99" spans="1:19" ht="42.75" customHeight="1" x14ac:dyDescent="0.3">
      <c r="A99" s="47" t="s">
        <v>231</v>
      </c>
      <c r="B99" s="46" t="s">
        <v>239</v>
      </c>
      <c r="C99" s="42" t="s">
        <v>229</v>
      </c>
      <c r="D99" s="42"/>
      <c r="E99" s="42">
        <v>0</v>
      </c>
      <c r="F99" s="51">
        <v>0</v>
      </c>
      <c r="G99" s="51">
        <v>0</v>
      </c>
      <c r="H99" s="51">
        <v>350</v>
      </c>
      <c r="I99" s="59">
        <v>18.000000000000004</v>
      </c>
      <c r="J99" s="59">
        <v>112.80000000000001</v>
      </c>
      <c r="K99" s="59">
        <v>0</v>
      </c>
      <c r="L99" s="59">
        <v>7</v>
      </c>
      <c r="M99" s="59">
        <v>0</v>
      </c>
      <c r="N99" s="59">
        <v>0</v>
      </c>
      <c r="O99" s="59">
        <v>0</v>
      </c>
      <c r="P99" s="59">
        <v>0</v>
      </c>
      <c r="Q99" s="59">
        <v>35</v>
      </c>
      <c r="R99" s="52">
        <f t="shared" si="1"/>
        <v>522.79999999999995</v>
      </c>
      <c r="S99" s="42"/>
    </row>
    <row r="100" spans="1:19" ht="42.75" customHeight="1" x14ac:dyDescent="0.3">
      <c r="A100" s="47" t="s">
        <v>231</v>
      </c>
      <c r="B100" s="46" t="s">
        <v>238</v>
      </c>
      <c r="C100" s="42" t="s">
        <v>229</v>
      </c>
      <c r="D100" s="42"/>
      <c r="E100" s="42">
        <v>27000</v>
      </c>
      <c r="F100" s="51">
        <v>0</v>
      </c>
      <c r="G100" s="51">
        <v>0</v>
      </c>
      <c r="H100" s="51">
        <v>420000</v>
      </c>
      <c r="I100" s="59">
        <v>10800</v>
      </c>
      <c r="J100" s="59">
        <v>67680</v>
      </c>
      <c r="K100" s="59">
        <v>0</v>
      </c>
      <c r="L100" s="59">
        <v>8400</v>
      </c>
      <c r="M100" s="59">
        <v>16800</v>
      </c>
      <c r="N100" s="59">
        <v>0</v>
      </c>
      <c r="O100" s="59">
        <v>0</v>
      </c>
      <c r="P100" s="59">
        <v>50400</v>
      </c>
      <c r="Q100" s="59">
        <v>42000</v>
      </c>
      <c r="R100" s="52">
        <f t="shared" si="1"/>
        <v>643080</v>
      </c>
      <c r="S100" s="42"/>
    </row>
    <row r="101" spans="1:19" ht="42.75" customHeight="1" x14ac:dyDescent="0.3">
      <c r="A101" s="47" t="s">
        <v>235</v>
      </c>
      <c r="B101" s="46" t="s">
        <v>237</v>
      </c>
      <c r="C101" s="42" t="s">
        <v>233</v>
      </c>
      <c r="D101" s="45" t="s">
        <v>232</v>
      </c>
      <c r="E101" s="42">
        <v>0</v>
      </c>
      <c r="F101" s="51">
        <v>0</v>
      </c>
      <c r="G101" s="51">
        <v>550.62</v>
      </c>
      <c r="H101" s="51">
        <v>16159.5</v>
      </c>
      <c r="I101" s="59">
        <v>239.4</v>
      </c>
      <c r="J101" s="59">
        <v>2577.48</v>
      </c>
      <c r="K101" s="59">
        <v>2587.9139999999998</v>
      </c>
      <c r="L101" s="59">
        <v>323.19</v>
      </c>
      <c r="M101" s="59">
        <v>0</v>
      </c>
      <c r="N101" s="59">
        <v>0</v>
      </c>
      <c r="O101" s="59">
        <v>12847.8</v>
      </c>
      <c r="P101" s="59">
        <v>0</v>
      </c>
      <c r="Q101" s="59">
        <v>1615.95</v>
      </c>
      <c r="R101" s="52">
        <f t="shared" si="1"/>
        <v>36901.853999999992</v>
      </c>
      <c r="S101" s="42" t="s">
        <v>236</v>
      </c>
    </row>
    <row r="102" spans="1:19" ht="42.75" customHeight="1" x14ac:dyDescent="0.3">
      <c r="A102" s="47" t="s">
        <v>235</v>
      </c>
      <c r="B102" s="46" t="s">
        <v>234</v>
      </c>
      <c r="C102" s="42" t="s">
        <v>233</v>
      </c>
      <c r="D102" s="45" t="s">
        <v>232</v>
      </c>
      <c r="E102" s="42">
        <v>1377.06</v>
      </c>
      <c r="F102" s="51">
        <v>0</v>
      </c>
      <c r="G102" s="51">
        <v>0</v>
      </c>
      <c r="H102" s="51">
        <v>23184</v>
      </c>
      <c r="I102" s="59">
        <v>0</v>
      </c>
      <c r="J102" s="59">
        <v>3709.9920000000002</v>
      </c>
      <c r="K102" s="59">
        <v>0</v>
      </c>
      <c r="L102" s="59">
        <v>463.67999999999995</v>
      </c>
      <c r="M102" s="59">
        <v>810.6</v>
      </c>
      <c r="N102" s="59">
        <v>0</v>
      </c>
      <c r="O102" s="59">
        <v>0</v>
      </c>
      <c r="P102" s="59">
        <v>2431.8000000000002</v>
      </c>
      <c r="Q102" s="59">
        <v>2318.3999999999996</v>
      </c>
      <c r="R102" s="52">
        <f t="shared" si="1"/>
        <v>34295.531999999999</v>
      </c>
      <c r="S102" s="42"/>
    </row>
    <row r="103" spans="1:19" ht="42.75" customHeight="1" x14ac:dyDescent="0.3">
      <c r="A103" s="47" t="s">
        <v>231</v>
      </c>
      <c r="B103" s="46" t="s">
        <v>230</v>
      </c>
      <c r="C103" s="42" t="s">
        <v>229</v>
      </c>
      <c r="D103" s="42"/>
      <c r="E103" s="42">
        <v>1500</v>
      </c>
      <c r="F103" s="51">
        <v>1200</v>
      </c>
      <c r="G103" s="51">
        <v>300</v>
      </c>
      <c r="H103" s="51">
        <v>7000</v>
      </c>
      <c r="I103" s="59">
        <v>1200</v>
      </c>
      <c r="J103" s="59">
        <v>2820</v>
      </c>
      <c r="K103" s="59">
        <v>1410</v>
      </c>
      <c r="L103" s="59">
        <v>140</v>
      </c>
      <c r="M103" s="59">
        <v>700</v>
      </c>
      <c r="N103" s="59">
        <v>12000</v>
      </c>
      <c r="O103" s="59">
        <v>7000</v>
      </c>
      <c r="P103" s="59">
        <v>2100</v>
      </c>
      <c r="Q103" s="59">
        <v>700</v>
      </c>
      <c r="R103" s="52">
        <f t="shared" si="1"/>
        <v>38070</v>
      </c>
      <c r="S103" s="42" t="s">
        <v>228</v>
      </c>
    </row>
    <row r="104" spans="1:19" ht="42.75" customHeight="1" x14ac:dyDescent="0.3">
      <c r="A104" s="47" t="s">
        <v>226</v>
      </c>
      <c r="B104" s="46" t="s">
        <v>227</v>
      </c>
      <c r="C104" s="42" t="s">
        <v>224</v>
      </c>
      <c r="D104" s="45" t="s">
        <v>223</v>
      </c>
      <c r="E104" s="42">
        <v>0</v>
      </c>
      <c r="F104" s="51">
        <v>0</v>
      </c>
      <c r="G104" s="51">
        <v>0</v>
      </c>
      <c r="H104" s="51">
        <v>0</v>
      </c>
      <c r="I104" s="59">
        <v>360</v>
      </c>
      <c r="J104" s="59">
        <v>0</v>
      </c>
      <c r="K104" s="59">
        <v>0</v>
      </c>
      <c r="L104" s="59">
        <v>0</v>
      </c>
      <c r="M104" s="59">
        <v>0</v>
      </c>
      <c r="N104" s="59">
        <v>0</v>
      </c>
      <c r="O104" s="59">
        <v>0</v>
      </c>
      <c r="P104" s="59">
        <v>0</v>
      </c>
      <c r="Q104" s="59">
        <v>0</v>
      </c>
      <c r="R104" s="52">
        <f t="shared" si="1"/>
        <v>360</v>
      </c>
      <c r="S104" s="42"/>
    </row>
    <row r="105" spans="1:19" ht="42.75" customHeight="1" x14ac:dyDescent="0.3">
      <c r="A105" s="47" t="s">
        <v>226</v>
      </c>
      <c r="B105" s="46" t="s">
        <v>225</v>
      </c>
      <c r="C105" s="42" t="s">
        <v>224</v>
      </c>
      <c r="D105" s="45" t="s">
        <v>223</v>
      </c>
      <c r="E105" s="42">
        <v>0</v>
      </c>
      <c r="F105" s="51">
        <v>0</v>
      </c>
      <c r="G105" s="51">
        <v>0</v>
      </c>
      <c r="H105" s="51">
        <v>14000</v>
      </c>
      <c r="I105" s="59">
        <v>360</v>
      </c>
      <c r="J105" s="59">
        <v>2256</v>
      </c>
      <c r="K105" s="59">
        <v>0</v>
      </c>
      <c r="L105" s="59">
        <v>280</v>
      </c>
      <c r="M105" s="59">
        <v>0</v>
      </c>
      <c r="N105" s="59">
        <v>0</v>
      </c>
      <c r="O105" s="59">
        <v>0</v>
      </c>
      <c r="P105" s="59">
        <v>0</v>
      </c>
      <c r="Q105" s="59">
        <v>1400</v>
      </c>
      <c r="R105" s="52">
        <f t="shared" si="1"/>
        <v>18296</v>
      </c>
      <c r="S105" s="42"/>
    </row>
  </sheetData>
  <autoFilter ref="A1:T2" xr:uid="{0F6FDB27-0AEA-4095-BC24-252C2ED66CCF}"/>
  <mergeCells count="3">
    <mergeCell ref="B1:B2"/>
    <mergeCell ref="C1:C2"/>
    <mergeCell ref="D1:D2"/>
  </mergeCells>
  <conditionalFormatting sqref="A1">
    <cfRule type="duplicateValues" dxfId="36" priority="1"/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D4D46-955A-4E5E-9EEA-D280C656E674}">
  <dimension ref="A1:AB104"/>
  <sheetViews>
    <sheetView zoomScale="68" zoomScaleNormal="70" workbookViewId="0">
      <selection activeCell="AA35" sqref="AA35"/>
    </sheetView>
  </sheetViews>
  <sheetFormatPr defaultColWidth="8.77734375" defaultRowHeight="15.6" x14ac:dyDescent="0.3"/>
  <cols>
    <col min="1" max="1" width="26" style="41" customWidth="1"/>
    <col min="2" max="2" width="77.77734375" customWidth="1"/>
    <col min="3" max="3" width="26.77734375" hidden="1" customWidth="1"/>
    <col min="4" max="4" width="52.6640625" hidden="1" customWidth="1"/>
    <col min="5" max="5" width="49.88671875" hidden="1" customWidth="1"/>
    <col min="6" max="8" width="36.6640625" hidden="1" customWidth="1"/>
    <col min="9" max="9" width="17.88671875" bestFit="1" customWidth="1"/>
    <col min="10" max="10" width="25.77734375" bestFit="1" customWidth="1"/>
    <col min="11" max="11" width="23.88671875" bestFit="1" customWidth="1"/>
    <col min="12" max="12" width="17.88671875" bestFit="1" customWidth="1"/>
    <col min="13" max="13" width="25.77734375" bestFit="1" customWidth="1"/>
    <col min="14" max="14" width="23.88671875" bestFit="1" customWidth="1"/>
    <col min="15" max="15" width="17.88671875" bestFit="1" customWidth="1"/>
    <col min="16" max="16" width="25.77734375" bestFit="1" customWidth="1"/>
    <col min="17" max="17" width="23.88671875" bestFit="1" customWidth="1"/>
    <col min="18" max="18" width="17.77734375" bestFit="1" customWidth="1"/>
    <col min="19" max="19" width="25.6640625" bestFit="1" customWidth="1"/>
    <col min="20" max="20" width="23.77734375" bestFit="1" customWidth="1"/>
    <col min="21" max="21" width="17.5546875" bestFit="1" customWidth="1"/>
    <col min="22" max="22" width="25.5546875" bestFit="1" customWidth="1"/>
    <col min="23" max="23" width="23.5546875" bestFit="1" customWidth="1"/>
    <col min="24" max="24" width="17.88671875" bestFit="1" customWidth="1"/>
    <col min="25" max="25" width="25.77734375" bestFit="1" customWidth="1"/>
    <col min="26" max="26" width="23.88671875" bestFit="1" customWidth="1"/>
    <col min="27" max="27" width="65.109375" style="142" bestFit="1" customWidth="1"/>
    <col min="28" max="28" width="36.44140625" style="39" customWidth="1"/>
  </cols>
  <sheetData>
    <row r="1" spans="1:28" ht="33.6" customHeight="1" x14ac:dyDescent="0.3">
      <c r="A1" s="121" t="s">
        <v>423</v>
      </c>
      <c r="B1" s="122" t="s">
        <v>365</v>
      </c>
      <c r="C1" s="122" t="s">
        <v>364</v>
      </c>
      <c r="D1" s="122" t="s">
        <v>363</v>
      </c>
      <c r="E1" s="122" t="s">
        <v>448</v>
      </c>
      <c r="F1" s="122" t="s">
        <v>424</v>
      </c>
      <c r="G1" s="122" t="s">
        <v>562</v>
      </c>
      <c r="H1" s="122" t="s">
        <v>563</v>
      </c>
      <c r="I1" s="123" t="s">
        <v>425</v>
      </c>
      <c r="J1" s="123" t="s">
        <v>426</v>
      </c>
      <c r="K1" s="123" t="s">
        <v>427</v>
      </c>
      <c r="L1" s="124" t="s">
        <v>428</v>
      </c>
      <c r="M1" s="124" t="s">
        <v>429</v>
      </c>
      <c r="N1" s="124" t="s">
        <v>430</v>
      </c>
      <c r="O1" s="125" t="s">
        <v>431</v>
      </c>
      <c r="P1" s="125" t="s">
        <v>564</v>
      </c>
      <c r="Q1" s="125" t="s">
        <v>432</v>
      </c>
      <c r="R1" s="126" t="s">
        <v>433</v>
      </c>
      <c r="S1" s="126" t="s">
        <v>434</v>
      </c>
      <c r="T1" s="126" t="s">
        <v>435</v>
      </c>
      <c r="U1" s="127" t="s">
        <v>436</v>
      </c>
      <c r="V1" s="127" t="s">
        <v>437</v>
      </c>
      <c r="W1" s="127" t="s">
        <v>438</v>
      </c>
      <c r="X1" s="128" t="s">
        <v>439</v>
      </c>
      <c r="Y1" s="128" t="s">
        <v>440</v>
      </c>
      <c r="Z1" s="128" t="s">
        <v>441</v>
      </c>
      <c r="AA1" s="140" t="s">
        <v>442</v>
      </c>
      <c r="AB1" s="129" t="s">
        <v>354</v>
      </c>
    </row>
    <row r="2" spans="1:28" ht="69" customHeight="1" x14ac:dyDescent="0.3">
      <c r="A2" s="130" t="s">
        <v>540</v>
      </c>
      <c r="B2" s="95" t="s">
        <v>246</v>
      </c>
      <c r="C2" s="131" t="s">
        <v>229</v>
      </c>
      <c r="D2" s="131"/>
      <c r="E2" s="131">
        <v>1</v>
      </c>
      <c r="F2" s="131">
        <v>330</v>
      </c>
      <c r="G2" s="131">
        <f>Table3[[#This Row],[Begin stocks]]-Table3[[#This Row],[Need of A]]</f>
        <v>-329</v>
      </c>
      <c r="H2" s="131">
        <f>IF(Table3[[#This Row],[Before restocks A]]&lt;0, 0, Table3[[#This Row],[Before restocks A]])</f>
        <v>0</v>
      </c>
      <c r="I2" s="132">
        <v>2800</v>
      </c>
      <c r="J2" s="132">
        <f>Table3[[#This Row],[After restocks A]]-Table3[[#This Row],[Need of B]]</f>
        <v>-2800</v>
      </c>
      <c r="K2" s="132">
        <f>IF(Table3[[#This Row],[Before restock B]]&lt;0,0,Table3[[#This Row],[Before restock B]])</f>
        <v>0</v>
      </c>
      <c r="L2" s="132">
        <v>60</v>
      </c>
      <c r="M2" s="132">
        <f>Table3[[#This Row],[After restock B]]-Table3[[#This Row],[Need of C]]</f>
        <v>-60</v>
      </c>
      <c r="N2" s="132">
        <f>IF(Table3[[#This Row],[Before restock C]]&lt;0,0,Table3[[#This Row],[Before restock C]])</f>
        <v>0</v>
      </c>
      <c r="O2" s="132">
        <v>1325</v>
      </c>
      <c r="P2" s="132">
        <f>Table3[[#This Row],[After restock C]]-Table3[[#This Row],[Need of D]]</f>
        <v>-1325</v>
      </c>
      <c r="Q2" s="132">
        <f>IF(Table3[[#This Row],[Before restock D]]&lt;0,0,Table3[[#This Row],[Before restock D]])</f>
        <v>0</v>
      </c>
      <c r="R2" s="132">
        <v>315</v>
      </c>
      <c r="S2" s="132">
        <f>Table3[[#This Row],[After restock D]]-Table3[[#This Row],[Need of E]]</f>
        <v>-315</v>
      </c>
      <c r="T2" s="132">
        <f>IF(Table3[[#This Row],[Before restock E]]&lt;0,0,Table3[[#This Row],[Before restock E]])</f>
        <v>0</v>
      </c>
      <c r="U2" s="132">
        <v>1200</v>
      </c>
      <c r="V2" s="132">
        <f>Table3[[#This Row],[After restock E]]-Table3[[#This Row],[Need of F]]</f>
        <v>-1200</v>
      </c>
      <c r="W2" s="132">
        <f>IF(Table3[[#This Row],[Before restock F]]&lt;0,0,Table3[[#This Row],[Before restock F]])</f>
        <v>0</v>
      </c>
      <c r="X2" s="132">
        <v>2625</v>
      </c>
      <c r="Y2" s="132">
        <f>Table3[[#This Row],[After restock F]]-Table3[[#This Row],[Need of G]]</f>
        <v>-2625</v>
      </c>
      <c r="Z2" s="132">
        <f>IF(Table3[[#This Row],[Before restock G]]&lt;0,0,Table3[[#This Row],[Before restock G]])</f>
        <v>0</v>
      </c>
      <c r="AA2" s="141">
        <f>SUMIF(Table3[[#This Row],[Before restocks A]:[After restock G]],"&lt;0")</f>
        <v>-8654</v>
      </c>
      <c r="AB2" s="133"/>
    </row>
    <row r="3" spans="1:28" ht="64.5" hidden="1" customHeight="1" x14ac:dyDescent="0.3">
      <c r="A3" s="130" t="s">
        <v>520</v>
      </c>
      <c r="B3" s="93" t="s">
        <v>274</v>
      </c>
      <c r="C3" s="131" t="s">
        <v>229</v>
      </c>
      <c r="D3" s="134"/>
      <c r="E3" s="134">
        <v>120</v>
      </c>
      <c r="F3" s="134">
        <v>0</v>
      </c>
      <c r="G3" s="134">
        <f>Table3[[#This Row],[Begin stocks]]-Table3[[#This Row],[Need of A]]</f>
        <v>120</v>
      </c>
      <c r="H3" s="134">
        <f>IF(Table3[[#This Row],[Before restocks A]]&lt;0, 0, Table3[[#This Row],[Before restocks A]])</f>
        <v>120</v>
      </c>
      <c r="I3" s="132">
        <v>0</v>
      </c>
      <c r="J3" s="132">
        <f>Table3[[#This Row],[After restocks A]]-Table3[[#This Row],[Need of B]]</f>
        <v>120</v>
      </c>
      <c r="K3" s="132">
        <f>IF(Table3[[#This Row],[Before restock B]]&lt;0,0,Table3[[#This Row],[Before restock B]])</f>
        <v>120</v>
      </c>
      <c r="L3" s="132">
        <v>10800</v>
      </c>
      <c r="M3" s="132">
        <f>Table3[[#This Row],[After restock B]]-Table3[[#This Row],[Need of C]]</f>
        <v>-10680</v>
      </c>
      <c r="N3" s="132">
        <f>IF(Table3[[#This Row],[Before restock C]]&lt;0,0,Table3[[#This Row],[Before restock C]])</f>
        <v>0</v>
      </c>
      <c r="O3" s="132">
        <v>67680</v>
      </c>
      <c r="P3" s="132">
        <f>Table3[[#This Row],[After restock C]]-Table3[[#This Row],[Need of D]]</f>
        <v>-67680</v>
      </c>
      <c r="Q3" s="132">
        <f>IF(Table3[[#This Row],[Before restock D]]&lt;0,0,Table3[[#This Row],[Before restock D]])</f>
        <v>0</v>
      </c>
      <c r="R3" s="132">
        <v>0</v>
      </c>
      <c r="S3" s="132">
        <f>Table3[[#This Row],[After restock D]]-Table3[[#This Row],[Need of E]]</f>
        <v>0</v>
      </c>
      <c r="T3" s="132">
        <f>IF(Table3[[#This Row],[Before restock E]]&lt;0,0,Table3[[#This Row],[Before restock E]])</f>
        <v>0</v>
      </c>
      <c r="U3" s="132">
        <v>0</v>
      </c>
      <c r="V3" s="132">
        <f>Table3[[#This Row],[After restock E]]-Table3[[#This Row],[Need of F]]</f>
        <v>0</v>
      </c>
      <c r="W3" s="132">
        <f>IF(Table3[[#This Row],[Before restock F]]&lt;0,0,Table3[[#This Row],[Before restock F]])</f>
        <v>0</v>
      </c>
      <c r="X3" s="132">
        <v>0</v>
      </c>
      <c r="Y3" s="132">
        <f>Table3[[#This Row],[After restock F]]-Table3[[#This Row],[Need of G]]</f>
        <v>0</v>
      </c>
      <c r="Z3" s="132">
        <f>IF(Table3[[#This Row],[Before restock G]]&lt;0,0,Table3[[#This Row],[Before restock G]])</f>
        <v>0</v>
      </c>
      <c r="AA3" s="141">
        <f>SUMIF(Table3[[#This Row],[Before restocks A]:[After restock G]],"&lt;0")</f>
        <v>-78360</v>
      </c>
      <c r="AB3" s="133"/>
    </row>
    <row r="4" spans="1:28" ht="42.75" hidden="1" customHeight="1" x14ac:dyDescent="0.3">
      <c r="A4" s="130" t="s">
        <v>518</v>
      </c>
      <c r="B4" s="93" t="s">
        <v>276</v>
      </c>
      <c r="C4" s="131" t="s">
        <v>229</v>
      </c>
      <c r="D4" s="134"/>
      <c r="E4" s="134">
        <v>15</v>
      </c>
      <c r="F4" s="134">
        <v>0</v>
      </c>
      <c r="G4" s="134">
        <f>Table3[[#This Row],[Begin stocks]]-Table3[[#This Row],[Need of A]]</f>
        <v>15</v>
      </c>
      <c r="H4" s="134">
        <f>IF(Table3[[#This Row],[Before restocks A]]&lt;0, 0, Table3[[#This Row],[Before restocks A]])</f>
        <v>15</v>
      </c>
      <c r="I4" s="132">
        <v>21000</v>
      </c>
      <c r="J4" s="132">
        <f>Table3[[#This Row],[After restocks A]]-Table3[[#This Row],[Need of B]]</f>
        <v>-20985</v>
      </c>
      <c r="K4" s="132">
        <f>IF(Table3[[#This Row],[Before restock B]]&lt;0,0,Table3[[#This Row],[Before restock B]])</f>
        <v>0</v>
      </c>
      <c r="L4" s="132">
        <v>1080</v>
      </c>
      <c r="M4" s="132">
        <f>Table3[[#This Row],[After restock B]]-Table3[[#This Row],[Need of C]]</f>
        <v>-1080</v>
      </c>
      <c r="N4" s="132">
        <f>IF(Table3[[#This Row],[Before restock C]]&lt;0,0,Table3[[#This Row],[Before restock C]])</f>
        <v>0</v>
      </c>
      <c r="O4" s="132">
        <v>3804</v>
      </c>
      <c r="P4" s="132">
        <f>Table3[[#This Row],[After restock C]]-Table3[[#This Row],[Need of D]]</f>
        <v>-3804</v>
      </c>
      <c r="Q4" s="132">
        <f>IF(Table3[[#This Row],[Before restock D]]&lt;0,0,Table3[[#This Row],[Before restock D]])</f>
        <v>0</v>
      </c>
      <c r="R4" s="132">
        <v>0</v>
      </c>
      <c r="S4" s="132">
        <f>Table3[[#This Row],[After restock D]]-Table3[[#This Row],[Need of E]]</f>
        <v>0</v>
      </c>
      <c r="T4" s="132">
        <f>IF(Table3[[#This Row],[Before restock E]]&lt;0,0,Table3[[#This Row],[Before restock E]])</f>
        <v>0</v>
      </c>
      <c r="U4" s="132">
        <v>0</v>
      </c>
      <c r="V4" s="132">
        <f>Table3[[#This Row],[After restock E]]-Table3[[#This Row],[Need of F]]</f>
        <v>0</v>
      </c>
      <c r="W4" s="132">
        <f>IF(Table3[[#This Row],[Before restock F]]&lt;0,0,Table3[[#This Row],[Before restock F]])</f>
        <v>0</v>
      </c>
      <c r="X4" s="132">
        <v>2100</v>
      </c>
      <c r="Y4" s="132">
        <f>Table3[[#This Row],[After restock F]]-Table3[[#This Row],[Need of G]]</f>
        <v>-2100</v>
      </c>
      <c r="Z4" s="132">
        <f>IF(Table3[[#This Row],[Before restock G]]&lt;0,0,Table3[[#This Row],[Before restock G]])</f>
        <v>0</v>
      </c>
      <c r="AA4" s="141">
        <f>SUMIF(Table3[[#This Row],[Before restocks A]:[After restock G]],"&lt;0")</f>
        <v>-27969</v>
      </c>
      <c r="AB4" s="133"/>
    </row>
    <row r="5" spans="1:28" ht="42.75" hidden="1" customHeight="1" x14ac:dyDescent="0.3">
      <c r="A5" s="130" t="s">
        <v>524</v>
      </c>
      <c r="B5" s="93" t="s">
        <v>270</v>
      </c>
      <c r="C5" s="131" t="s">
        <v>229</v>
      </c>
      <c r="D5" s="134"/>
      <c r="E5" s="134">
        <v>120</v>
      </c>
      <c r="F5" s="134">
        <v>0</v>
      </c>
      <c r="G5" s="134">
        <f>Table3[[#This Row],[Begin stocks]]-Table3[[#This Row],[Need of A]]</f>
        <v>120</v>
      </c>
      <c r="H5" s="134">
        <f>IF(Table3[[#This Row],[Before restocks A]]&lt;0, 0, Table3[[#This Row],[Before restocks A]])</f>
        <v>120</v>
      </c>
      <c r="I5" s="132">
        <v>0</v>
      </c>
      <c r="J5" s="132">
        <f>Table3[[#This Row],[After restocks A]]-Table3[[#This Row],[Need of B]]</f>
        <v>120</v>
      </c>
      <c r="K5" s="132">
        <f>IF(Table3[[#This Row],[Before restock B]]&lt;0,0,Table3[[#This Row],[Before restock B]])</f>
        <v>120</v>
      </c>
      <c r="L5" s="132">
        <v>10800</v>
      </c>
      <c r="M5" s="132">
        <f>Table3[[#This Row],[After restock B]]-Table3[[#This Row],[Need of C]]</f>
        <v>-10680</v>
      </c>
      <c r="N5" s="132">
        <f>IF(Table3[[#This Row],[Before restock C]]&lt;0,0,Table3[[#This Row],[Before restock C]])</f>
        <v>0</v>
      </c>
      <c r="O5" s="132">
        <v>67680</v>
      </c>
      <c r="P5" s="132">
        <f>Table3[[#This Row],[After restock C]]-Table3[[#This Row],[Need of D]]</f>
        <v>-67680</v>
      </c>
      <c r="Q5" s="132">
        <f>IF(Table3[[#This Row],[Before restock D]]&lt;0,0,Table3[[#This Row],[Before restock D]])</f>
        <v>0</v>
      </c>
      <c r="R5" s="132">
        <v>0</v>
      </c>
      <c r="S5" s="132">
        <f>Table3[[#This Row],[After restock D]]-Table3[[#This Row],[Need of E]]</f>
        <v>0</v>
      </c>
      <c r="T5" s="132">
        <f>IF(Table3[[#This Row],[Before restock E]]&lt;0,0,Table3[[#This Row],[Before restock E]])</f>
        <v>0</v>
      </c>
      <c r="U5" s="132">
        <v>0</v>
      </c>
      <c r="V5" s="132">
        <f>Table3[[#This Row],[After restock E]]-Table3[[#This Row],[Need of F]]</f>
        <v>0</v>
      </c>
      <c r="W5" s="132">
        <f>IF(Table3[[#This Row],[Before restock F]]&lt;0,0,Table3[[#This Row],[Before restock F]])</f>
        <v>0</v>
      </c>
      <c r="X5" s="132">
        <v>0</v>
      </c>
      <c r="Y5" s="132">
        <f>Table3[[#This Row],[After restock F]]-Table3[[#This Row],[Need of G]]</f>
        <v>0</v>
      </c>
      <c r="Z5" s="132">
        <f>IF(Table3[[#This Row],[Before restock G]]&lt;0,0,Table3[[#This Row],[Before restock G]])</f>
        <v>0</v>
      </c>
      <c r="AA5" s="141">
        <f>SUMIF(Table3[[#This Row],[Before restocks A]:[After restock G]],"&lt;0")</f>
        <v>-78360</v>
      </c>
      <c r="AB5" s="133"/>
    </row>
    <row r="6" spans="1:28" ht="42.75" hidden="1" customHeight="1" x14ac:dyDescent="0.3">
      <c r="A6" s="130" t="s">
        <v>519</v>
      </c>
      <c r="B6" s="93" t="s">
        <v>275</v>
      </c>
      <c r="C6" s="131" t="s">
        <v>229</v>
      </c>
      <c r="D6" s="134"/>
      <c r="E6" s="134">
        <v>230</v>
      </c>
      <c r="F6" s="134">
        <v>0</v>
      </c>
      <c r="G6" s="134">
        <f>Table3[[#This Row],[Begin stocks]]-Table3[[#This Row],[Need of A]]</f>
        <v>230</v>
      </c>
      <c r="H6" s="134">
        <f>IF(Table3[[#This Row],[Before restocks A]]&lt;0, 0, Table3[[#This Row],[Before restocks A]])</f>
        <v>230</v>
      </c>
      <c r="I6" s="132">
        <v>70000</v>
      </c>
      <c r="J6" s="132">
        <f>Table3[[#This Row],[After restocks A]]-Table3[[#This Row],[Need of B]]</f>
        <v>-69770</v>
      </c>
      <c r="K6" s="132">
        <f>IF(Table3[[#This Row],[Before restock B]]&lt;0,0,Table3[[#This Row],[Before restock B]])</f>
        <v>0</v>
      </c>
      <c r="L6" s="132">
        <v>14400</v>
      </c>
      <c r="M6" s="132">
        <f>Table3[[#This Row],[After restock B]]-Table3[[#This Row],[Need of C]]</f>
        <v>-14400</v>
      </c>
      <c r="N6" s="132">
        <f>IF(Table3[[#This Row],[Before restock C]]&lt;0,0,Table3[[#This Row],[Before restock C]])</f>
        <v>0</v>
      </c>
      <c r="O6" s="132">
        <v>148040</v>
      </c>
      <c r="P6" s="132">
        <f>Table3[[#This Row],[After restock C]]-Table3[[#This Row],[Need of D]]</f>
        <v>-148040</v>
      </c>
      <c r="Q6" s="132">
        <f>IF(Table3[[#This Row],[Before restock D]]&lt;0,0,Table3[[#This Row],[Before restock D]])</f>
        <v>0</v>
      </c>
      <c r="R6" s="132">
        <v>0</v>
      </c>
      <c r="S6" s="132">
        <f>Table3[[#This Row],[After restock D]]-Table3[[#This Row],[Need of E]]</f>
        <v>0</v>
      </c>
      <c r="T6" s="132">
        <f>IF(Table3[[#This Row],[Before restock E]]&lt;0,0,Table3[[#This Row],[Before restock E]])</f>
        <v>0</v>
      </c>
      <c r="U6" s="132">
        <v>0</v>
      </c>
      <c r="V6" s="132">
        <f>Table3[[#This Row],[After restock E]]-Table3[[#This Row],[Need of F]]</f>
        <v>0</v>
      </c>
      <c r="W6" s="132">
        <f>IF(Table3[[#This Row],[Before restock F]]&lt;0,0,Table3[[#This Row],[Before restock F]])</f>
        <v>0</v>
      </c>
      <c r="X6" s="132">
        <v>7000</v>
      </c>
      <c r="Y6" s="132">
        <f>Table3[[#This Row],[After restock F]]-Table3[[#This Row],[Need of G]]</f>
        <v>-7000</v>
      </c>
      <c r="Z6" s="132">
        <f>IF(Table3[[#This Row],[Before restock G]]&lt;0,0,Table3[[#This Row],[Before restock G]])</f>
        <v>0</v>
      </c>
      <c r="AA6" s="141">
        <f>SUMIF(Table3[[#This Row],[Before restocks A]:[After restock G]],"&lt;0")</f>
        <v>-239210</v>
      </c>
      <c r="AB6" s="133"/>
    </row>
    <row r="7" spans="1:28" ht="42.75" hidden="1" customHeight="1" x14ac:dyDescent="0.3">
      <c r="A7" s="130" t="s">
        <v>521</v>
      </c>
      <c r="B7" s="93" t="s">
        <v>273</v>
      </c>
      <c r="C7" s="131" t="s">
        <v>229</v>
      </c>
      <c r="D7" s="131"/>
      <c r="E7" s="131">
        <v>30</v>
      </c>
      <c r="F7" s="131">
        <v>0</v>
      </c>
      <c r="G7" s="131">
        <f>Table3[[#This Row],[Begin stocks]]-Table3[[#This Row],[Need of A]]</f>
        <v>30</v>
      </c>
      <c r="H7" s="131">
        <f>IF(Table3[[#This Row],[Before restocks A]]&lt;0, 0, Table3[[#This Row],[Before restocks A]])</f>
        <v>30</v>
      </c>
      <c r="I7" s="132">
        <v>35000</v>
      </c>
      <c r="J7" s="132">
        <f>Table3[[#This Row],[After restocks A]]-Table3[[#This Row],[Need of B]]</f>
        <v>-34970</v>
      </c>
      <c r="K7" s="132">
        <f>IF(Table3[[#This Row],[Before restock B]]&lt;0,0,Table3[[#This Row],[Before restock B]])</f>
        <v>0</v>
      </c>
      <c r="L7" s="132">
        <v>1800</v>
      </c>
      <c r="M7" s="132">
        <f>Table3[[#This Row],[After restock B]]-Table3[[#This Row],[Need of C]]</f>
        <v>-1800</v>
      </c>
      <c r="N7" s="132">
        <f>IF(Table3[[#This Row],[Before restock C]]&lt;0,0,Table3[[#This Row],[Before restock C]])</f>
        <v>0</v>
      </c>
      <c r="O7" s="132">
        <v>11980</v>
      </c>
      <c r="P7" s="132">
        <f>Table3[[#This Row],[After restock C]]-Table3[[#This Row],[Need of D]]</f>
        <v>-11980</v>
      </c>
      <c r="Q7" s="132">
        <f>IF(Table3[[#This Row],[Before restock D]]&lt;0,0,Table3[[#This Row],[Before restock D]])</f>
        <v>0</v>
      </c>
      <c r="R7" s="132">
        <v>0</v>
      </c>
      <c r="S7" s="132">
        <f>Table3[[#This Row],[After restock D]]-Table3[[#This Row],[Need of E]]</f>
        <v>0</v>
      </c>
      <c r="T7" s="132">
        <f>IF(Table3[[#This Row],[Before restock E]]&lt;0,0,Table3[[#This Row],[Before restock E]])</f>
        <v>0</v>
      </c>
      <c r="U7" s="132">
        <v>0</v>
      </c>
      <c r="V7" s="132">
        <f>Table3[[#This Row],[After restock E]]-Table3[[#This Row],[Need of F]]</f>
        <v>0</v>
      </c>
      <c r="W7" s="132">
        <f>IF(Table3[[#This Row],[Before restock F]]&lt;0,0,Table3[[#This Row],[Before restock F]])</f>
        <v>0</v>
      </c>
      <c r="X7" s="132">
        <v>3500</v>
      </c>
      <c r="Y7" s="132">
        <f>Table3[[#This Row],[After restock F]]-Table3[[#This Row],[Need of G]]</f>
        <v>-3500</v>
      </c>
      <c r="Z7" s="132">
        <f>IF(Table3[[#This Row],[Before restock G]]&lt;0,0,Table3[[#This Row],[Before restock G]])</f>
        <v>0</v>
      </c>
      <c r="AA7" s="141">
        <f>SUMIF(Table3[[#This Row],[Before restocks A]:[After restock G]],"&lt;0")</f>
        <v>-52250</v>
      </c>
      <c r="AB7" s="133"/>
    </row>
    <row r="8" spans="1:28" ht="42.75" hidden="1" customHeight="1" x14ac:dyDescent="0.3">
      <c r="A8" s="130" t="s">
        <v>523</v>
      </c>
      <c r="B8" s="93" t="s">
        <v>271</v>
      </c>
      <c r="C8" s="131" t="s">
        <v>229</v>
      </c>
      <c r="D8" s="131"/>
      <c r="E8" s="131">
        <v>8</v>
      </c>
      <c r="F8" s="131">
        <v>0</v>
      </c>
      <c r="G8" s="131">
        <f>Table3[[#This Row],[Begin stocks]]-Table3[[#This Row],[Need of A]]</f>
        <v>8</v>
      </c>
      <c r="H8" s="131">
        <f>IF(Table3[[#This Row],[Before restocks A]]&lt;0, 0, Table3[[#This Row],[Before restocks A]])</f>
        <v>8</v>
      </c>
      <c r="I8" s="132">
        <v>0</v>
      </c>
      <c r="J8" s="132">
        <f>Table3[[#This Row],[After restocks A]]-Table3[[#This Row],[Need of B]]</f>
        <v>8</v>
      </c>
      <c r="K8" s="132">
        <f>IF(Table3[[#This Row],[Before restock B]]&lt;0,0,Table3[[#This Row],[Before restock B]])</f>
        <v>8</v>
      </c>
      <c r="L8" s="132">
        <v>1440</v>
      </c>
      <c r="M8" s="132">
        <f>Table3[[#This Row],[After restock B]]-Table3[[#This Row],[Need of C]]</f>
        <v>-1432</v>
      </c>
      <c r="N8" s="132">
        <f>IF(Table3[[#This Row],[Before restock C]]&lt;0,0,Table3[[#This Row],[Before restock C]])</f>
        <v>0</v>
      </c>
      <c r="O8" s="132">
        <v>0</v>
      </c>
      <c r="P8" s="132">
        <f>Table3[[#This Row],[After restock C]]-Table3[[#This Row],[Need of D]]</f>
        <v>0</v>
      </c>
      <c r="Q8" s="132">
        <f>IF(Table3[[#This Row],[Before restock D]]&lt;0,0,Table3[[#This Row],[Before restock D]])</f>
        <v>0</v>
      </c>
      <c r="R8" s="132">
        <v>0</v>
      </c>
      <c r="S8" s="132">
        <f>Table3[[#This Row],[After restock D]]-Table3[[#This Row],[Need of E]]</f>
        <v>0</v>
      </c>
      <c r="T8" s="132">
        <f>IF(Table3[[#This Row],[Before restock E]]&lt;0,0,Table3[[#This Row],[Before restock E]])</f>
        <v>0</v>
      </c>
      <c r="U8" s="132">
        <v>0</v>
      </c>
      <c r="V8" s="132">
        <f>Table3[[#This Row],[After restock E]]-Table3[[#This Row],[Need of F]]</f>
        <v>0</v>
      </c>
      <c r="W8" s="132">
        <f>IF(Table3[[#This Row],[Before restock F]]&lt;0,0,Table3[[#This Row],[Before restock F]])</f>
        <v>0</v>
      </c>
      <c r="X8" s="132">
        <v>0</v>
      </c>
      <c r="Y8" s="132">
        <f>Table3[[#This Row],[After restock F]]-Table3[[#This Row],[Need of G]]</f>
        <v>0</v>
      </c>
      <c r="Z8" s="132">
        <f>IF(Table3[[#This Row],[Before restock G]]&lt;0,0,Table3[[#This Row],[Before restock G]])</f>
        <v>0</v>
      </c>
      <c r="AA8" s="141">
        <f>SUMIF(Table3[[#This Row],[Before restocks A]:[After restock G]],"&lt;0")</f>
        <v>-1432</v>
      </c>
      <c r="AB8" s="133"/>
    </row>
    <row r="9" spans="1:28" ht="42.75" hidden="1" customHeight="1" x14ac:dyDescent="0.3">
      <c r="A9" s="130" t="s">
        <v>525</v>
      </c>
      <c r="B9" s="93" t="s">
        <v>269</v>
      </c>
      <c r="C9" s="131" t="s">
        <v>229</v>
      </c>
      <c r="D9" s="134"/>
      <c r="E9" s="134">
        <v>16</v>
      </c>
      <c r="F9" s="134">
        <v>0</v>
      </c>
      <c r="G9" s="134">
        <f>Table3[[#This Row],[Begin stocks]]-Table3[[#This Row],[Need of A]]</f>
        <v>16</v>
      </c>
      <c r="H9" s="134">
        <f>IF(Table3[[#This Row],[Before restocks A]]&lt;0, 0, Table3[[#This Row],[Before restocks A]])</f>
        <v>16</v>
      </c>
      <c r="I9" s="132">
        <v>28000</v>
      </c>
      <c r="J9" s="132">
        <f>Table3[[#This Row],[After restocks A]]-Table3[[#This Row],[Need of B]]</f>
        <v>-27984</v>
      </c>
      <c r="K9" s="132">
        <f>IF(Table3[[#This Row],[Before restock B]]&lt;0,0,Table3[[#This Row],[Before restock B]])</f>
        <v>0</v>
      </c>
      <c r="L9" s="132">
        <v>1440</v>
      </c>
      <c r="M9" s="132">
        <f>Table3[[#This Row],[After restock B]]-Table3[[#This Row],[Need of C]]</f>
        <v>-1440</v>
      </c>
      <c r="N9" s="132">
        <f>IF(Table3[[#This Row],[Before restock C]]&lt;0,0,Table3[[#This Row],[Before restock C]])</f>
        <v>0</v>
      </c>
      <c r="O9" s="132">
        <v>560</v>
      </c>
      <c r="P9" s="132">
        <f>Table3[[#This Row],[After restock C]]-Table3[[#This Row],[Need of D]]</f>
        <v>-560</v>
      </c>
      <c r="Q9" s="132">
        <f>IF(Table3[[#This Row],[Before restock D]]&lt;0,0,Table3[[#This Row],[Before restock D]])</f>
        <v>0</v>
      </c>
      <c r="R9" s="132">
        <v>0</v>
      </c>
      <c r="S9" s="132">
        <f>Table3[[#This Row],[After restock D]]-Table3[[#This Row],[Need of E]]</f>
        <v>0</v>
      </c>
      <c r="T9" s="132">
        <f>IF(Table3[[#This Row],[Before restock E]]&lt;0,0,Table3[[#This Row],[Before restock E]])</f>
        <v>0</v>
      </c>
      <c r="U9" s="132">
        <v>0</v>
      </c>
      <c r="V9" s="132">
        <f>Table3[[#This Row],[After restock E]]-Table3[[#This Row],[Need of F]]</f>
        <v>0</v>
      </c>
      <c r="W9" s="132">
        <f>IF(Table3[[#This Row],[Before restock F]]&lt;0,0,Table3[[#This Row],[Before restock F]])</f>
        <v>0</v>
      </c>
      <c r="X9" s="132">
        <v>2800</v>
      </c>
      <c r="Y9" s="132">
        <f>Table3[[#This Row],[After restock F]]-Table3[[#This Row],[Need of G]]</f>
        <v>-2800</v>
      </c>
      <c r="Z9" s="132">
        <f>IF(Table3[[#This Row],[Before restock G]]&lt;0,0,Table3[[#This Row],[Before restock G]])</f>
        <v>0</v>
      </c>
      <c r="AA9" s="141">
        <f>SUMIF(Table3[[#This Row],[Before restocks A]:[After restock G]],"&lt;0")</f>
        <v>-32784</v>
      </c>
      <c r="AB9" s="133"/>
    </row>
    <row r="10" spans="1:28" ht="42.75" hidden="1" customHeight="1" x14ac:dyDescent="0.3">
      <c r="A10" s="130" t="s">
        <v>517</v>
      </c>
      <c r="B10" s="93" t="s">
        <v>277</v>
      </c>
      <c r="C10" s="131" t="s">
        <v>229</v>
      </c>
      <c r="D10" s="134"/>
      <c r="E10" s="134">
        <v>12</v>
      </c>
      <c r="F10" s="134">
        <v>690</v>
      </c>
      <c r="G10" s="134">
        <f>Table3[[#This Row],[Begin stocks]]-Table3[[#This Row],[Need of A]]</f>
        <v>-678</v>
      </c>
      <c r="H10" s="134">
        <f>IF(Table3[[#This Row],[Before restocks A]]&lt;0, 0, Table3[[#This Row],[Before restocks A]])</f>
        <v>0</v>
      </c>
      <c r="I10" s="132">
        <v>11200</v>
      </c>
      <c r="J10" s="132">
        <f>Table3[[#This Row],[After restocks A]]-Table3[[#This Row],[Need of B]]</f>
        <v>-11200</v>
      </c>
      <c r="K10" s="132">
        <f>IF(Table3[[#This Row],[Before restock B]]&lt;0,0,Table3[[#This Row],[Before restock B]])</f>
        <v>0</v>
      </c>
      <c r="L10" s="132">
        <v>360</v>
      </c>
      <c r="M10" s="132">
        <f>Table3[[#This Row],[After restock B]]-Table3[[#This Row],[Need of C]]</f>
        <v>-360</v>
      </c>
      <c r="N10" s="132">
        <f>IF(Table3[[#This Row],[Before restock C]]&lt;0,0,Table3[[#This Row],[Before restock C]])</f>
        <v>0</v>
      </c>
      <c r="O10" s="132">
        <v>2903</v>
      </c>
      <c r="P10" s="132">
        <f>Table3[[#This Row],[After restock C]]-Table3[[#This Row],[Need of D]]</f>
        <v>-2903</v>
      </c>
      <c r="Q10" s="132">
        <f>IF(Table3[[#This Row],[Before restock D]]&lt;0,0,Table3[[#This Row],[Before restock D]])</f>
        <v>0</v>
      </c>
      <c r="R10" s="132">
        <v>455</v>
      </c>
      <c r="S10" s="132">
        <f>Table3[[#This Row],[After restock D]]-Table3[[#This Row],[Need of E]]</f>
        <v>-455</v>
      </c>
      <c r="T10" s="132">
        <f>IF(Table3[[#This Row],[Before restock E]]&lt;0,0,Table3[[#This Row],[Before restock E]])</f>
        <v>0</v>
      </c>
      <c r="U10" s="132">
        <v>2400</v>
      </c>
      <c r="V10" s="132">
        <f>Table3[[#This Row],[After restock E]]-Table3[[#This Row],[Need of F]]</f>
        <v>-2400</v>
      </c>
      <c r="W10" s="132">
        <f>IF(Table3[[#This Row],[Before restock F]]&lt;0,0,Table3[[#This Row],[Before restock F]])</f>
        <v>0</v>
      </c>
      <c r="X10" s="132">
        <v>5985</v>
      </c>
      <c r="Y10" s="132">
        <f>Table3[[#This Row],[After restock F]]-Table3[[#This Row],[Need of G]]</f>
        <v>-5985</v>
      </c>
      <c r="Z10" s="132">
        <f>IF(Table3[[#This Row],[Before restock G]]&lt;0,0,Table3[[#This Row],[Before restock G]])</f>
        <v>0</v>
      </c>
      <c r="AA10" s="141">
        <f>SUMIF(Table3[[#This Row],[Before restocks A]:[After restock G]],"&lt;0")</f>
        <v>-23981</v>
      </c>
      <c r="AB10" s="133"/>
    </row>
    <row r="11" spans="1:28" ht="42.75" customHeight="1" x14ac:dyDescent="0.3">
      <c r="A11" s="130" t="s">
        <v>538</v>
      </c>
      <c r="B11" s="95" t="s">
        <v>248</v>
      </c>
      <c r="C11" s="131" t="s">
        <v>229</v>
      </c>
      <c r="D11" s="131"/>
      <c r="E11" s="131">
        <v>7</v>
      </c>
      <c r="F11" s="131">
        <v>300</v>
      </c>
      <c r="G11" s="131">
        <f>Table3[[#This Row],[Begin stocks]]-Table3[[#This Row],[Need of A]]</f>
        <v>-293</v>
      </c>
      <c r="H11" s="131">
        <f>IF(Table3[[#This Row],[Before restocks A]]&lt;0, 0, Table3[[#This Row],[Before restocks A]])</f>
        <v>0</v>
      </c>
      <c r="I11" s="132">
        <v>3500</v>
      </c>
      <c r="J11" s="132">
        <f>Table3[[#This Row],[After restocks A]]-Table3[[#This Row],[Need of B]]</f>
        <v>-3500</v>
      </c>
      <c r="K11" s="132">
        <f>IF(Table3[[#This Row],[Before restock B]]&lt;0,0,Table3[[#This Row],[Before restock B]])</f>
        <v>0</v>
      </c>
      <c r="L11" s="132">
        <v>180</v>
      </c>
      <c r="M11" s="132">
        <f>Table3[[#This Row],[After restock B]]-Table3[[#This Row],[Need of C]]</f>
        <v>-180</v>
      </c>
      <c r="N11" s="132">
        <f>IF(Table3[[#This Row],[Before restock C]]&lt;0,0,Table3[[#This Row],[Before restock C]])</f>
        <v>0</v>
      </c>
      <c r="O11" s="132">
        <v>1198</v>
      </c>
      <c r="P11" s="132">
        <f>Table3[[#This Row],[After restock C]]-Table3[[#This Row],[Need of D]]</f>
        <v>-1198</v>
      </c>
      <c r="Q11" s="132">
        <f>IF(Table3[[#This Row],[Before restock D]]&lt;0,0,Table3[[#This Row],[Before restock D]])</f>
        <v>0</v>
      </c>
      <c r="R11" s="132">
        <v>280</v>
      </c>
      <c r="S11" s="132">
        <f>Table3[[#This Row],[After restock D]]-Table3[[#This Row],[Need of E]]</f>
        <v>-280</v>
      </c>
      <c r="T11" s="132">
        <f>IF(Table3[[#This Row],[Before restock E]]&lt;0,0,Table3[[#This Row],[Before restock E]])</f>
        <v>0</v>
      </c>
      <c r="U11" s="132">
        <v>0</v>
      </c>
      <c r="V11" s="132">
        <f>Table3[[#This Row],[After restock E]]-Table3[[#This Row],[Need of F]]</f>
        <v>0</v>
      </c>
      <c r="W11" s="132">
        <f>IF(Table3[[#This Row],[Before restock F]]&lt;0,0,Table3[[#This Row],[Before restock F]])</f>
        <v>0</v>
      </c>
      <c r="X11" s="132">
        <v>1190</v>
      </c>
      <c r="Y11" s="132">
        <f>Table3[[#This Row],[After restock F]]-Table3[[#This Row],[Need of G]]</f>
        <v>-1190</v>
      </c>
      <c r="Z11" s="132">
        <f>IF(Table3[[#This Row],[Before restock G]]&lt;0,0,Table3[[#This Row],[Before restock G]])</f>
        <v>0</v>
      </c>
      <c r="AA11" s="141">
        <f>SUMIF(Table3[[#This Row],[Before restocks A]:[After restock G]],"&lt;0")</f>
        <v>-6641</v>
      </c>
      <c r="AB11" s="133"/>
    </row>
    <row r="12" spans="1:28" ht="42.75" hidden="1" customHeight="1" x14ac:dyDescent="0.3">
      <c r="A12" s="130" t="s">
        <v>451</v>
      </c>
      <c r="B12" s="89" t="s">
        <v>348</v>
      </c>
      <c r="C12" s="131" t="s">
        <v>240</v>
      </c>
      <c r="D12" s="131"/>
      <c r="E12" s="131">
        <v>2.96</v>
      </c>
      <c r="F12" s="131">
        <v>0</v>
      </c>
      <c r="G12" s="131">
        <f>Table3[[#This Row],[Begin stocks]]-Table3[[#This Row],[Need of A]]</f>
        <v>2.96</v>
      </c>
      <c r="H12" s="131">
        <f>IF(Table3[[#This Row],[Before restocks A]]&lt;0, 0, Table3[[#This Row],[Before restocks A]])</f>
        <v>2.96</v>
      </c>
      <c r="I12" s="132">
        <v>0</v>
      </c>
      <c r="J12" s="132">
        <f>Table3[[#This Row],[After restocks A]]-Table3[[#This Row],[Need of B]]</f>
        <v>2.96</v>
      </c>
      <c r="K12" s="132">
        <f>IF(Table3[[#This Row],[Before restock B]]&lt;0,0,Table3[[#This Row],[Before restock B]])</f>
        <v>2.96</v>
      </c>
      <c r="L12" s="132">
        <v>0</v>
      </c>
      <c r="M12" s="132">
        <f>Table3[[#This Row],[After restock B]]-Table3[[#This Row],[Need of C]]</f>
        <v>2.96</v>
      </c>
      <c r="N12" s="132">
        <f>IF(Table3[[#This Row],[Before restock C]]&lt;0,0,Table3[[#This Row],[Before restock C]])</f>
        <v>2.96</v>
      </c>
      <c r="O12" s="132">
        <v>0</v>
      </c>
      <c r="P12" s="132">
        <f>Table3[[#This Row],[After restock C]]-Table3[[#This Row],[Need of D]]</f>
        <v>2.96</v>
      </c>
      <c r="Q12" s="132">
        <f>IF(Table3[[#This Row],[Before restock D]]&lt;0,0,Table3[[#This Row],[Before restock D]])</f>
        <v>2.96</v>
      </c>
      <c r="R12" s="132">
        <v>414.4</v>
      </c>
      <c r="S12" s="132">
        <f>Table3[[#This Row],[After restock D]]-Table3[[#This Row],[Need of E]]</f>
        <v>-411.44</v>
      </c>
      <c r="T12" s="132">
        <f>IF(Table3[[#This Row],[Before restock E]]&lt;0,0,Table3[[#This Row],[Before restock E]])</f>
        <v>0</v>
      </c>
      <c r="U12" s="132">
        <v>0</v>
      </c>
      <c r="V12" s="132">
        <f>Table3[[#This Row],[After restock E]]-Table3[[#This Row],[Need of F]]</f>
        <v>0</v>
      </c>
      <c r="W12" s="132">
        <f>IF(Table3[[#This Row],[Before restock F]]&lt;0,0,Table3[[#This Row],[Before restock F]])</f>
        <v>0</v>
      </c>
      <c r="X12" s="132">
        <v>1243.2</v>
      </c>
      <c r="Y12" s="132">
        <f>Table3[[#This Row],[After restock F]]-Table3[[#This Row],[Need of G]]</f>
        <v>-1243.2</v>
      </c>
      <c r="Z12" s="132">
        <f>IF(Table3[[#This Row],[Before restock G]]&lt;0,0,Table3[[#This Row],[Before restock G]])</f>
        <v>0</v>
      </c>
      <c r="AA12" s="141">
        <f>SUMIF(Table3[[#This Row],[Before restocks A]:[After restock G]],"&lt;0")</f>
        <v>-1654.64</v>
      </c>
      <c r="AB12" s="133"/>
    </row>
    <row r="13" spans="1:28" ht="30" hidden="1" customHeight="1" x14ac:dyDescent="0.3">
      <c r="A13" s="130" t="s">
        <v>487</v>
      </c>
      <c r="B13" s="90" t="s">
        <v>570</v>
      </c>
      <c r="C13" s="131" t="s">
        <v>229</v>
      </c>
      <c r="D13" s="134"/>
      <c r="E13" s="134" t="s">
        <v>552</v>
      </c>
      <c r="F13" s="134">
        <v>0</v>
      </c>
      <c r="G13" s="134">
        <f>Table3[[#This Row],[Begin stocks]]-Table3[[#This Row],[Need of A]]</f>
        <v>1.617</v>
      </c>
      <c r="H13" s="134">
        <f>IF(Table3[[#This Row],[Before restocks A]]&lt;0, 0, Table3[[#This Row],[Before restocks A]])</f>
        <v>1.617</v>
      </c>
      <c r="I13" s="132">
        <v>2660</v>
      </c>
      <c r="J13" s="132">
        <f>Table3[[#This Row],[After restocks A]]-Table3[[#This Row],[Need of B]]</f>
        <v>-2658.3829999999998</v>
      </c>
      <c r="K13" s="132">
        <f>IF(Table3[[#This Row],[Before restock B]]&lt;0,0,Table3[[#This Row],[Before restock B]])</f>
        <v>0</v>
      </c>
      <c r="L13" s="132">
        <v>80.459999999999994</v>
      </c>
      <c r="M13" s="132">
        <f>Table3[[#This Row],[After restock B]]-Table3[[#This Row],[Need of C]]</f>
        <v>-80.459999999999994</v>
      </c>
      <c r="N13" s="132">
        <f>IF(Table3[[#This Row],[Before restock C]]&lt;0,0,Table3[[#This Row],[Before restock C]])</f>
        <v>0</v>
      </c>
      <c r="O13" s="132">
        <v>515.67999999999995</v>
      </c>
      <c r="P13" s="132">
        <f>Table3[[#This Row],[After restock C]]-Table3[[#This Row],[Need of D]]</f>
        <v>-515.67999999999995</v>
      </c>
      <c r="Q13" s="132">
        <f>IF(Table3[[#This Row],[Before restock D]]&lt;0,0,Table3[[#This Row],[Before restock D]])</f>
        <v>0</v>
      </c>
      <c r="R13" s="132">
        <v>0</v>
      </c>
      <c r="S13" s="132">
        <f>Table3[[#This Row],[After restock D]]-Table3[[#This Row],[Need of E]]</f>
        <v>0</v>
      </c>
      <c r="T13" s="132">
        <f>IF(Table3[[#This Row],[Before restock E]]&lt;0,0,Table3[[#This Row],[Before restock E]])</f>
        <v>0</v>
      </c>
      <c r="U13" s="132">
        <v>0</v>
      </c>
      <c r="V13" s="132">
        <f>Table3[[#This Row],[After restock E]]-Table3[[#This Row],[Need of F]]</f>
        <v>0</v>
      </c>
      <c r="W13" s="132">
        <f>IF(Table3[[#This Row],[Before restock F]]&lt;0,0,Table3[[#This Row],[Before restock F]])</f>
        <v>0</v>
      </c>
      <c r="X13" s="132">
        <v>266</v>
      </c>
      <c r="Y13" s="132">
        <f>Table3[[#This Row],[After restock F]]-Table3[[#This Row],[Need of G]]</f>
        <v>-266</v>
      </c>
      <c r="Z13" s="132">
        <f>IF(Table3[[#This Row],[Before restock G]]&lt;0,0,Table3[[#This Row],[Before restock G]])</f>
        <v>0</v>
      </c>
      <c r="AA13" s="141">
        <f>SUMIF(Table3[[#This Row],[Before restocks A]:[After restock G]],"&lt;0")</f>
        <v>-3520.5229999999997</v>
      </c>
      <c r="AB13" s="133"/>
    </row>
    <row r="14" spans="1:28" ht="42.75" hidden="1" customHeight="1" x14ac:dyDescent="0.3">
      <c r="A14" s="130" t="s">
        <v>537</v>
      </c>
      <c r="B14" s="94" t="s">
        <v>249</v>
      </c>
      <c r="C14" s="131" t="s">
        <v>229</v>
      </c>
      <c r="D14" s="131"/>
      <c r="E14" s="131">
        <v>4</v>
      </c>
      <c r="F14" s="131">
        <v>0</v>
      </c>
      <c r="G14" s="131">
        <f>Table3[[#This Row],[Begin stocks]]-Table3[[#This Row],[Need of A]]</f>
        <v>4</v>
      </c>
      <c r="H14" s="131">
        <f>IF(Table3[[#This Row],[Before restocks A]]&lt;0, 0, Table3[[#This Row],[Before restocks A]])</f>
        <v>4</v>
      </c>
      <c r="I14" s="132">
        <v>7000</v>
      </c>
      <c r="J14" s="132">
        <f>Table3[[#This Row],[After restocks A]]-Table3[[#This Row],[Need of B]]</f>
        <v>-6996</v>
      </c>
      <c r="K14" s="132">
        <f>IF(Table3[[#This Row],[Before restock B]]&lt;0,0,Table3[[#This Row],[Before restock B]])</f>
        <v>0</v>
      </c>
      <c r="L14" s="132">
        <v>180</v>
      </c>
      <c r="M14" s="132">
        <f>Table3[[#This Row],[After restock B]]-Table3[[#This Row],[Need of C]]</f>
        <v>-180</v>
      </c>
      <c r="N14" s="132">
        <f>IF(Table3[[#This Row],[Before restock C]]&lt;0,0,Table3[[#This Row],[Before restock C]])</f>
        <v>0</v>
      </c>
      <c r="O14" s="132">
        <v>1268</v>
      </c>
      <c r="P14" s="132">
        <f>Table3[[#This Row],[After restock C]]-Table3[[#This Row],[Need of D]]</f>
        <v>-1268</v>
      </c>
      <c r="Q14" s="132">
        <f>IF(Table3[[#This Row],[Before restock D]]&lt;0,0,Table3[[#This Row],[Before restock D]])</f>
        <v>0</v>
      </c>
      <c r="R14" s="132">
        <v>0</v>
      </c>
      <c r="S14" s="132">
        <f>Table3[[#This Row],[After restock D]]-Table3[[#This Row],[Need of E]]</f>
        <v>0</v>
      </c>
      <c r="T14" s="132">
        <f>IF(Table3[[#This Row],[Before restock E]]&lt;0,0,Table3[[#This Row],[Before restock E]])</f>
        <v>0</v>
      </c>
      <c r="U14" s="132">
        <v>0</v>
      </c>
      <c r="V14" s="132">
        <f>Table3[[#This Row],[After restock E]]-Table3[[#This Row],[Need of F]]</f>
        <v>0</v>
      </c>
      <c r="W14" s="132">
        <f>IF(Table3[[#This Row],[Before restock F]]&lt;0,0,Table3[[#This Row],[Before restock F]])</f>
        <v>0</v>
      </c>
      <c r="X14" s="132">
        <v>700</v>
      </c>
      <c r="Y14" s="132">
        <f>Table3[[#This Row],[After restock F]]-Table3[[#This Row],[Need of G]]</f>
        <v>-700</v>
      </c>
      <c r="Z14" s="132">
        <f>IF(Table3[[#This Row],[Before restock G]]&lt;0,0,Table3[[#This Row],[Before restock G]])</f>
        <v>0</v>
      </c>
      <c r="AA14" s="141">
        <f>SUMIF(Table3[[#This Row],[Before restocks A]:[After restock G]],"&lt;0")</f>
        <v>-9144</v>
      </c>
      <c r="AB14" s="133"/>
    </row>
    <row r="15" spans="1:28" ht="42.75" hidden="1" customHeight="1" x14ac:dyDescent="0.3">
      <c r="A15" s="130" t="s">
        <v>470</v>
      </c>
      <c r="B15" s="91" t="s">
        <v>327</v>
      </c>
      <c r="C15" s="131" t="s">
        <v>240</v>
      </c>
      <c r="D15" s="131"/>
      <c r="E15" s="131">
        <v>8.5</v>
      </c>
      <c r="F15" s="131">
        <v>930</v>
      </c>
      <c r="G15" s="131">
        <f>Table3[[#This Row],[Begin stocks]]-Table3[[#This Row],[Need of A]]</f>
        <v>-921.5</v>
      </c>
      <c r="H15" s="131">
        <f>IF(Table3[[#This Row],[Before restocks A]]&lt;0, 0, Table3[[#This Row],[Before restocks A]])</f>
        <v>0</v>
      </c>
      <c r="I15" s="132">
        <v>8400</v>
      </c>
      <c r="J15" s="132">
        <f>Table3[[#This Row],[After restocks A]]-Table3[[#This Row],[Need of B]]</f>
        <v>-8400</v>
      </c>
      <c r="K15" s="132">
        <f>IF(Table3[[#This Row],[Before restock B]]&lt;0,0,Table3[[#This Row],[Before restock B]])</f>
        <v>0</v>
      </c>
      <c r="L15" s="132">
        <v>360</v>
      </c>
      <c r="M15" s="132">
        <f>Table3[[#This Row],[After restock B]]-Table3[[#This Row],[Need of C]]</f>
        <v>-360</v>
      </c>
      <c r="N15" s="132">
        <f>IF(Table3[[#This Row],[Before restock C]]&lt;0,0,Table3[[#This Row],[Before restock C]])</f>
        <v>0</v>
      </c>
      <c r="O15" s="132">
        <v>3129</v>
      </c>
      <c r="P15" s="132">
        <f>Table3[[#This Row],[After restock C]]-Table3[[#This Row],[Need of D]]</f>
        <v>-3129</v>
      </c>
      <c r="Q15" s="132">
        <f>IF(Table3[[#This Row],[Before restock D]]&lt;0,0,Table3[[#This Row],[Before restock D]])</f>
        <v>0</v>
      </c>
      <c r="R15" s="132">
        <v>490</v>
      </c>
      <c r="S15" s="132">
        <f>Table3[[#This Row],[After restock D]]-Table3[[#This Row],[Need of E]]</f>
        <v>-490</v>
      </c>
      <c r="T15" s="132">
        <f>IF(Table3[[#This Row],[Before restock E]]&lt;0,0,Table3[[#This Row],[Before restock E]])</f>
        <v>0</v>
      </c>
      <c r="U15" s="132">
        <v>3600</v>
      </c>
      <c r="V15" s="132">
        <f>Table3[[#This Row],[After restock E]]-Table3[[#This Row],[Need of F]]</f>
        <v>-3600</v>
      </c>
      <c r="W15" s="132">
        <f>IF(Table3[[#This Row],[Before restock F]]&lt;0,0,Table3[[#This Row],[Before restock F]])</f>
        <v>0</v>
      </c>
      <c r="X15" s="132">
        <v>5810</v>
      </c>
      <c r="Y15" s="132">
        <f>Table3[[#This Row],[After restock F]]-Table3[[#This Row],[Need of G]]</f>
        <v>-5810</v>
      </c>
      <c r="Z15" s="132">
        <f>IF(Table3[[#This Row],[Before restock G]]&lt;0,0,Table3[[#This Row],[Before restock G]])</f>
        <v>0</v>
      </c>
      <c r="AA15" s="141">
        <f>SUMIF(Table3[[#This Row],[Before restocks A]:[After restock G]],"&lt;0")</f>
        <v>-22710.5</v>
      </c>
      <c r="AB15" s="133"/>
    </row>
    <row r="16" spans="1:28" s="39" customFormat="1" ht="42.75" hidden="1" customHeight="1" x14ac:dyDescent="0.3">
      <c r="A16" s="130" t="s">
        <v>545</v>
      </c>
      <c r="B16" s="94" t="s">
        <v>239</v>
      </c>
      <c r="C16" s="131" t="s">
        <v>229</v>
      </c>
      <c r="D16" s="131"/>
      <c r="E16" s="131">
        <v>0</v>
      </c>
      <c r="F16" s="131">
        <v>0</v>
      </c>
      <c r="G16" s="131">
        <f>Table3[[#This Row],[Begin stocks]]-Table3[[#This Row],[Need of A]]</f>
        <v>0</v>
      </c>
      <c r="H16" s="131">
        <f>IF(Table3[[#This Row],[Before restocks A]]&lt;0, 0, Table3[[#This Row],[Before restocks A]])</f>
        <v>0</v>
      </c>
      <c r="I16" s="132">
        <v>350</v>
      </c>
      <c r="J16" s="132">
        <f>Table3[[#This Row],[After restocks A]]-Table3[[#This Row],[Need of B]]</f>
        <v>-350</v>
      </c>
      <c r="K16" s="132">
        <f>IF(Table3[[#This Row],[Before restock B]]&lt;0,0,Table3[[#This Row],[Before restock B]])</f>
        <v>0</v>
      </c>
      <c r="L16" s="132">
        <v>18.000000000000004</v>
      </c>
      <c r="M16" s="132">
        <f>Table3[[#This Row],[After restock B]]-Table3[[#This Row],[Need of C]]</f>
        <v>-18.000000000000004</v>
      </c>
      <c r="N16" s="132">
        <f>IF(Table3[[#This Row],[Before restock C]]&lt;0,0,Table3[[#This Row],[Before restock C]])</f>
        <v>0</v>
      </c>
      <c r="O16" s="132">
        <v>119.80000000000001</v>
      </c>
      <c r="P16" s="132">
        <f>Table3[[#This Row],[After restock C]]-Table3[[#This Row],[Need of D]]</f>
        <v>-119.80000000000001</v>
      </c>
      <c r="Q16" s="132">
        <f>IF(Table3[[#This Row],[Before restock D]]&lt;0,0,Table3[[#This Row],[Before restock D]])</f>
        <v>0</v>
      </c>
      <c r="R16" s="132">
        <v>0</v>
      </c>
      <c r="S16" s="132">
        <f>Table3[[#This Row],[After restock D]]-Table3[[#This Row],[Need of E]]</f>
        <v>0</v>
      </c>
      <c r="T16" s="132">
        <f>IF(Table3[[#This Row],[Before restock E]]&lt;0,0,Table3[[#This Row],[Before restock E]])</f>
        <v>0</v>
      </c>
      <c r="U16" s="132">
        <v>0</v>
      </c>
      <c r="V16" s="132">
        <f>Table3[[#This Row],[After restock E]]-Table3[[#This Row],[Need of F]]</f>
        <v>0</v>
      </c>
      <c r="W16" s="132">
        <f>IF(Table3[[#This Row],[Before restock F]]&lt;0,0,Table3[[#This Row],[Before restock F]])</f>
        <v>0</v>
      </c>
      <c r="X16" s="132">
        <v>35</v>
      </c>
      <c r="Y16" s="132">
        <f>Table3[[#This Row],[After restock F]]-Table3[[#This Row],[Need of G]]</f>
        <v>-35</v>
      </c>
      <c r="Z16" s="132">
        <f>IF(Table3[[#This Row],[Before restock G]]&lt;0,0,Table3[[#This Row],[Before restock G]])</f>
        <v>0</v>
      </c>
      <c r="AA16" s="141">
        <f>SUMIF(Table3[[#This Row],[Before restocks A]:[After restock G]],"&lt;0")</f>
        <v>-522.79999999999995</v>
      </c>
      <c r="AB16" s="133"/>
    </row>
    <row r="17" spans="1:28" s="39" customFormat="1" ht="28.2" hidden="1" customHeight="1" x14ac:dyDescent="0.3">
      <c r="A17" s="130" t="s">
        <v>460</v>
      </c>
      <c r="B17" s="90" t="s">
        <v>565</v>
      </c>
      <c r="C17" s="131" t="s">
        <v>229</v>
      </c>
      <c r="D17" s="131"/>
      <c r="E17" s="131">
        <v>1</v>
      </c>
      <c r="F17" s="131">
        <v>0</v>
      </c>
      <c r="G17" s="131">
        <f>Table3[[#This Row],[Begin stocks]]-Table3[[#This Row],[Need of A]]</f>
        <v>1</v>
      </c>
      <c r="H17" s="131">
        <f>IF(Table3[[#This Row],[Before restocks A]]&lt;0, 0, Table3[[#This Row],[Before restocks A]])</f>
        <v>1</v>
      </c>
      <c r="I17" s="132">
        <v>3500</v>
      </c>
      <c r="J17" s="132">
        <f>Table3[[#This Row],[After restocks A]]-Table3[[#This Row],[Need of B]]</f>
        <v>-3499</v>
      </c>
      <c r="K17" s="132">
        <f>IF(Table3[[#This Row],[Before restock B]]&lt;0,0,Table3[[#This Row],[Before restock B]])</f>
        <v>0</v>
      </c>
      <c r="L17" s="132">
        <v>0</v>
      </c>
      <c r="M17" s="132">
        <f>Table3[[#This Row],[After restock B]]-Table3[[#This Row],[Need of C]]</f>
        <v>0</v>
      </c>
      <c r="N17" s="132">
        <f>IF(Table3[[#This Row],[Before restock C]]&lt;0,0,Table3[[#This Row],[Before restock C]])</f>
        <v>0</v>
      </c>
      <c r="O17" s="132">
        <v>70</v>
      </c>
      <c r="P17" s="132">
        <f>Table3[[#This Row],[After restock C]]-Table3[[#This Row],[Need of D]]</f>
        <v>-70</v>
      </c>
      <c r="Q17" s="132">
        <f>IF(Table3[[#This Row],[Before restock D]]&lt;0,0,Table3[[#This Row],[Before restock D]])</f>
        <v>0</v>
      </c>
      <c r="R17" s="132">
        <v>0</v>
      </c>
      <c r="S17" s="132">
        <f>Table3[[#This Row],[After restock D]]-Table3[[#This Row],[Need of E]]</f>
        <v>0</v>
      </c>
      <c r="T17" s="132">
        <f>IF(Table3[[#This Row],[Before restock E]]&lt;0,0,Table3[[#This Row],[Before restock E]])</f>
        <v>0</v>
      </c>
      <c r="U17" s="132">
        <v>0</v>
      </c>
      <c r="V17" s="132">
        <f>Table3[[#This Row],[After restock E]]-Table3[[#This Row],[Need of F]]</f>
        <v>0</v>
      </c>
      <c r="W17" s="132">
        <f>IF(Table3[[#This Row],[Before restock F]]&lt;0,0,Table3[[#This Row],[Before restock F]])</f>
        <v>0</v>
      </c>
      <c r="X17" s="132">
        <v>350</v>
      </c>
      <c r="Y17" s="132">
        <f>Table3[[#This Row],[After restock F]]-Table3[[#This Row],[Need of G]]</f>
        <v>-350</v>
      </c>
      <c r="Z17" s="132">
        <f>IF(Table3[[#This Row],[Before restock G]]&lt;0,0,Table3[[#This Row],[Before restock G]])</f>
        <v>0</v>
      </c>
      <c r="AA17" s="141">
        <f>SUMIF(Table3[[#This Row],[Before restocks A]:[After restock G]],"&lt;0")</f>
        <v>-3919</v>
      </c>
      <c r="AB17" s="133"/>
    </row>
    <row r="18" spans="1:28" s="39" customFormat="1" ht="16.8" hidden="1" x14ac:dyDescent="0.3">
      <c r="A18" s="130" t="s">
        <v>536</v>
      </c>
      <c r="B18" s="97" t="s">
        <v>251</v>
      </c>
      <c r="C18" s="131" t="s">
        <v>240</v>
      </c>
      <c r="D18" s="134" t="s">
        <v>250</v>
      </c>
      <c r="E18" s="134" t="s">
        <v>447</v>
      </c>
      <c r="F18" s="134">
        <v>240</v>
      </c>
      <c r="G18" s="134">
        <f>Table3[[#This Row],[Begin stocks]]-Table3[[#This Row],[Need of A]]</f>
        <v>-219</v>
      </c>
      <c r="H18" s="134">
        <f>IF(Table3[[#This Row],[Before restocks A]]&lt;0, 0, Table3[[#This Row],[Before restocks A]])</f>
        <v>0</v>
      </c>
      <c r="I18" s="132">
        <v>1400</v>
      </c>
      <c r="J18" s="132">
        <f>Table3[[#This Row],[After restocks A]]-Table3[[#This Row],[Need of B]]</f>
        <v>-1400</v>
      </c>
      <c r="K18" s="132">
        <f>IF(Table3[[#This Row],[Before restock B]]&lt;0,0,Table3[[#This Row],[Before restock B]])</f>
        <v>0</v>
      </c>
      <c r="L18" s="132">
        <v>120</v>
      </c>
      <c r="M18" s="132">
        <f>Table3[[#This Row],[After restock B]]-Table3[[#This Row],[Need of C]]</f>
        <v>-120</v>
      </c>
      <c r="N18" s="132">
        <f>IF(Table3[[#This Row],[Before restock C]]&lt;0,0,Table3[[#This Row],[Before restock C]])</f>
        <v>0</v>
      </c>
      <c r="O18" s="132">
        <v>1156</v>
      </c>
      <c r="P18" s="132">
        <f>Table3[[#This Row],[After restock C]]-Table3[[#This Row],[Need of D]]</f>
        <v>-1156</v>
      </c>
      <c r="Q18" s="132">
        <f>IF(Table3[[#This Row],[Before restock D]]&lt;0,0,Table3[[#This Row],[Before restock D]])</f>
        <v>0</v>
      </c>
      <c r="R18" s="132">
        <v>140</v>
      </c>
      <c r="S18" s="132">
        <f>Table3[[#This Row],[After restock D]]-Table3[[#This Row],[Need of E]]</f>
        <v>-140</v>
      </c>
      <c r="T18" s="132">
        <f>IF(Table3[[#This Row],[Before restock E]]&lt;0,0,Table3[[#This Row],[Before restock E]])</f>
        <v>0</v>
      </c>
      <c r="U18" s="132">
        <v>600</v>
      </c>
      <c r="V18" s="132">
        <f>Table3[[#This Row],[After restock E]]-Table3[[#This Row],[Need of F]]</f>
        <v>-600</v>
      </c>
      <c r="W18" s="132">
        <f>IF(Table3[[#This Row],[Before restock F]]&lt;0,0,Table3[[#This Row],[Before restock F]])</f>
        <v>0</v>
      </c>
      <c r="X18" s="132">
        <v>1960</v>
      </c>
      <c r="Y18" s="132">
        <f>Table3[[#This Row],[After restock F]]-Table3[[#This Row],[Need of G]]</f>
        <v>-1960</v>
      </c>
      <c r="Z18" s="132">
        <f>IF(Table3[[#This Row],[Before restock G]]&lt;0,0,Table3[[#This Row],[Before restock G]])</f>
        <v>0</v>
      </c>
      <c r="AA18" s="141">
        <f>SUMIF(Table3[[#This Row],[Before restocks A]:[After restock G]],"&lt;0")</f>
        <v>-5595</v>
      </c>
      <c r="AB18" s="133"/>
    </row>
    <row r="19" spans="1:28" s="39" customFormat="1" ht="16.8" hidden="1" x14ac:dyDescent="0.3">
      <c r="A19" s="130" t="s">
        <v>535</v>
      </c>
      <c r="B19" s="97" t="s">
        <v>253</v>
      </c>
      <c r="C19" s="131" t="s">
        <v>240</v>
      </c>
      <c r="D19" s="134" t="s">
        <v>250</v>
      </c>
      <c r="E19" s="134" t="s">
        <v>444</v>
      </c>
      <c r="F19" s="134">
        <v>360</v>
      </c>
      <c r="G19" s="134">
        <f>Table3[[#This Row],[Begin stocks]]-Table3[[#This Row],[Need of A]]</f>
        <v>-355</v>
      </c>
      <c r="H19" s="134">
        <f>IF(Table3[[#This Row],[Before restocks A]]&lt;0, 0, Table3[[#This Row],[Before restocks A]])</f>
        <v>0</v>
      </c>
      <c r="I19" s="132">
        <v>4200</v>
      </c>
      <c r="J19" s="132">
        <f>Table3[[#This Row],[After restocks A]]-Table3[[#This Row],[Need of B]]</f>
        <v>-4200</v>
      </c>
      <c r="K19" s="132">
        <f>IF(Table3[[#This Row],[Before restock B]]&lt;0,0,Table3[[#This Row],[Before restock B]])</f>
        <v>0</v>
      </c>
      <c r="L19" s="132">
        <v>60</v>
      </c>
      <c r="M19" s="132">
        <f>Table3[[#This Row],[After restock B]]-Table3[[#This Row],[Need of C]]</f>
        <v>-60</v>
      </c>
      <c r="N19" s="132">
        <f>IF(Table3[[#This Row],[Before restock C]]&lt;0,0,Table3[[#This Row],[Before restock C]])</f>
        <v>0</v>
      </c>
      <c r="O19" s="132">
        <v>930</v>
      </c>
      <c r="P19" s="132">
        <f>Table3[[#This Row],[After restock C]]-Table3[[#This Row],[Need of D]]</f>
        <v>-930</v>
      </c>
      <c r="Q19" s="132">
        <f>IF(Table3[[#This Row],[Before restock D]]&lt;0,0,Table3[[#This Row],[Before restock D]])</f>
        <v>0</v>
      </c>
      <c r="R19" s="132">
        <v>140</v>
      </c>
      <c r="S19" s="132">
        <f>Table3[[#This Row],[After restock D]]-Table3[[#This Row],[Need of E]]</f>
        <v>-140</v>
      </c>
      <c r="T19" s="132">
        <f>IF(Table3[[#This Row],[Before restock E]]&lt;0,0,Table3[[#This Row],[Before restock E]])</f>
        <v>0</v>
      </c>
      <c r="U19" s="132">
        <v>1800</v>
      </c>
      <c r="V19" s="132">
        <f>Table3[[#This Row],[After restock E]]-Table3[[#This Row],[Need of F]]</f>
        <v>-1800</v>
      </c>
      <c r="W19" s="132">
        <f>IF(Table3[[#This Row],[Before restock F]]&lt;0,0,Table3[[#This Row],[Before restock F]])</f>
        <v>0</v>
      </c>
      <c r="X19" s="132">
        <v>2240</v>
      </c>
      <c r="Y19" s="132">
        <f>Table3[[#This Row],[After restock F]]-Table3[[#This Row],[Need of G]]</f>
        <v>-2240</v>
      </c>
      <c r="Z19" s="132">
        <f>IF(Table3[[#This Row],[Before restock G]]&lt;0,0,Table3[[#This Row],[Before restock G]])</f>
        <v>0</v>
      </c>
      <c r="AA19" s="141">
        <f>SUMIF(Table3[[#This Row],[Before restocks A]:[After restock G]],"&lt;0")</f>
        <v>-9725</v>
      </c>
      <c r="AB19" s="133"/>
    </row>
    <row r="20" spans="1:28" s="39" customFormat="1" ht="16.8" hidden="1" x14ac:dyDescent="0.3">
      <c r="A20" s="130" t="s">
        <v>485</v>
      </c>
      <c r="B20" s="90" t="s">
        <v>569</v>
      </c>
      <c r="C20" s="131" t="s">
        <v>229</v>
      </c>
      <c r="D20" s="134"/>
      <c r="E20" s="134">
        <v>2.1280000000000001</v>
      </c>
      <c r="F20" s="134">
        <v>0</v>
      </c>
      <c r="G20" s="134">
        <f>Table3[[#This Row],[Begin stocks]]-Table3[[#This Row],[Need of A]]</f>
        <v>2.1280000000000001</v>
      </c>
      <c r="H20" s="134">
        <f>IF(Table3[[#This Row],[Before restocks A]]&lt;0, 0, Table3[[#This Row],[Before restocks A]])</f>
        <v>2.1280000000000001</v>
      </c>
      <c r="I20" s="132">
        <v>4235</v>
      </c>
      <c r="J20" s="132">
        <f>Table3[[#This Row],[After restocks A]]-Table3[[#This Row],[Need of B]]</f>
        <v>-4232.8720000000003</v>
      </c>
      <c r="K20" s="132">
        <f>IF(Table3[[#This Row],[Before restock B]]&lt;0,0,Table3[[#This Row],[Before restock B]])</f>
        <v>0</v>
      </c>
      <c r="L20" s="132">
        <v>102.23999999999998</v>
      </c>
      <c r="M20" s="132">
        <f>Table3[[#This Row],[After restock B]]-Table3[[#This Row],[Need of C]]</f>
        <v>-102.23999999999998</v>
      </c>
      <c r="N20" s="132">
        <f>IF(Table3[[#This Row],[Before restock C]]&lt;0,0,Table3[[#This Row],[Before restock C]])</f>
        <v>0</v>
      </c>
      <c r="O20" s="132">
        <v>479.49999999999994</v>
      </c>
      <c r="P20" s="132">
        <f>Table3[[#This Row],[After restock C]]-Table3[[#This Row],[Need of D]]</f>
        <v>-479.49999999999994</v>
      </c>
      <c r="Q20" s="132">
        <f>IF(Table3[[#This Row],[Before restock D]]&lt;0,0,Table3[[#This Row],[Before restock D]])</f>
        <v>0</v>
      </c>
      <c r="R20" s="132">
        <v>0</v>
      </c>
      <c r="S20" s="132">
        <f>Table3[[#This Row],[After restock D]]-Table3[[#This Row],[Need of E]]</f>
        <v>0</v>
      </c>
      <c r="T20" s="132">
        <f>IF(Table3[[#This Row],[Before restock E]]&lt;0,0,Table3[[#This Row],[Before restock E]])</f>
        <v>0</v>
      </c>
      <c r="U20" s="132">
        <v>0</v>
      </c>
      <c r="V20" s="132">
        <f>Table3[[#This Row],[After restock E]]-Table3[[#This Row],[Need of F]]</f>
        <v>0</v>
      </c>
      <c r="W20" s="132">
        <f>IF(Table3[[#This Row],[Before restock F]]&lt;0,0,Table3[[#This Row],[Before restock F]])</f>
        <v>0</v>
      </c>
      <c r="X20" s="132">
        <v>423.5</v>
      </c>
      <c r="Y20" s="132">
        <f>Table3[[#This Row],[After restock F]]-Table3[[#This Row],[Need of G]]</f>
        <v>-423.5</v>
      </c>
      <c r="Z20" s="132">
        <f>IF(Table3[[#This Row],[Before restock G]]&lt;0,0,Table3[[#This Row],[Before restock G]])</f>
        <v>0</v>
      </c>
      <c r="AA20" s="141">
        <f>SUMIF(Table3[[#This Row],[Before restocks A]:[After restock G]],"&lt;0")</f>
        <v>-5238.1120000000001</v>
      </c>
      <c r="AB20" s="133"/>
    </row>
    <row r="21" spans="1:28" s="39" customFormat="1" ht="16.8" hidden="1" x14ac:dyDescent="0.3">
      <c r="A21" s="130" t="s">
        <v>449</v>
      </c>
      <c r="B21" s="88" t="s">
        <v>351</v>
      </c>
      <c r="C21" s="131" t="s">
        <v>350</v>
      </c>
      <c r="D21" s="132"/>
      <c r="E21" s="132">
        <v>0</v>
      </c>
      <c r="F21" s="132">
        <v>0</v>
      </c>
      <c r="G21" s="132">
        <f>Table3[[#This Row],[Begin stocks]]-Table3[[#This Row],[Need of A]]</f>
        <v>0</v>
      </c>
      <c r="H21" s="132">
        <f>IF(Table3[[#This Row],[Before restocks A]]&lt;0, 0, Table3[[#This Row],[Before restocks A]])</f>
        <v>0</v>
      </c>
      <c r="I21" s="132">
        <v>140</v>
      </c>
      <c r="J21" s="132">
        <f>Table3[[#This Row],[After restocks A]]-Table3[[#This Row],[Need of B]]</f>
        <v>-140</v>
      </c>
      <c r="K21" s="132">
        <f>IF(Table3[[#This Row],[Before restock B]]&lt;0,0,Table3[[#This Row],[Before restock B]])</f>
        <v>0</v>
      </c>
      <c r="L21" s="132">
        <v>0</v>
      </c>
      <c r="M21" s="132">
        <f>Table3[[#This Row],[After restock B]]-Table3[[#This Row],[Need of C]]</f>
        <v>0</v>
      </c>
      <c r="N21" s="132">
        <f>IF(Table3[[#This Row],[Before restock C]]&lt;0,0,Table3[[#This Row],[Before restock C]])</f>
        <v>0</v>
      </c>
      <c r="O21" s="132">
        <v>2.8000000000000003</v>
      </c>
      <c r="P21" s="132">
        <f>Table3[[#This Row],[After restock C]]-Table3[[#This Row],[Need of D]]</f>
        <v>-2.8000000000000003</v>
      </c>
      <c r="Q21" s="132">
        <f>IF(Table3[[#This Row],[Before restock D]]&lt;0,0,Table3[[#This Row],[Before restock D]])</f>
        <v>0</v>
      </c>
      <c r="R21" s="132">
        <v>0</v>
      </c>
      <c r="S21" s="132">
        <f>Table3[[#This Row],[After restock D]]-Table3[[#This Row],[Need of E]]</f>
        <v>0</v>
      </c>
      <c r="T21" s="132">
        <f>IF(Table3[[#This Row],[Before restock E]]&lt;0,0,Table3[[#This Row],[Before restock E]])</f>
        <v>0</v>
      </c>
      <c r="U21" s="132">
        <v>0</v>
      </c>
      <c r="V21" s="132">
        <f>Table3[[#This Row],[After restock E]]-Table3[[#This Row],[Need of F]]</f>
        <v>0</v>
      </c>
      <c r="W21" s="132">
        <f>IF(Table3[[#This Row],[Before restock F]]&lt;0,0,Table3[[#This Row],[Before restock F]])</f>
        <v>0</v>
      </c>
      <c r="X21" s="132">
        <v>14</v>
      </c>
      <c r="Y21" s="132">
        <f>Table3[[#This Row],[After restock F]]-Table3[[#This Row],[Need of G]]</f>
        <v>-14</v>
      </c>
      <c r="Z21" s="132">
        <f>IF(Table3[[#This Row],[Before restock G]]&lt;0,0,Table3[[#This Row],[Before restock G]])</f>
        <v>0</v>
      </c>
      <c r="AA21" s="141">
        <f>SUMIF(Table3[[#This Row],[Before restocks A]:[After restock G]],"&lt;0")</f>
        <v>-156.80000000000001</v>
      </c>
      <c r="AB21" s="133"/>
    </row>
    <row r="22" spans="1:28" s="39" customFormat="1" ht="33.6" hidden="1" x14ac:dyDescent="0.3">
      <c r="A22" s="130" t="s">
        <v>530</v>
      </c>
      <c r="B22" s="139" t="s">
        <v>263</v>
      </c>
      <c r="C22" s="131" t="s">
        <v>229</v>
      </c>
      <c r="D22" s="134" t="s">
        <v>262</v>
      </c>
      <c r="E22" s="134" t="s">
        <v>446</v>
      </c>
      <c r="F22" s="134">
        <v>240</v>
      </c>
      <c r="G22" s="134">
        <f>Table3[[#This Row],[Begin stocks]]-Table3[[#This Row],[Need of A]]</f>
        <v>-220</v>
      </c>
      <c r="H22" s="134">
        <f>IF(Table3[[#This Row],[Before restocks A]]&lt;0, 0, Table3[[#This Row],[Before restocks A]])</f>
        <v>0</v>
      </c>
      <c r="I22" s="132">
        <v>1400</v>
      </c>
      <c r="J22" s="132">
        <f>Table3[[#This Row],[After restocks A]]-Table3[[#This Row],[Need of B]]</f>
        <v>-1400</v>
      </c>
      <c r="K22" s="132">
        <f>IF(Table3[[#This Row],[Before restock B]]&lt;0,0,Table3[[#This Row],[Before restock B]])</f>
        <v>0</v>
      </c>
      <c r="L22" s="132">
        <v>180</v>
      </c>
      <c r="M22" s="132">
        <f>Table3[[#This Row],[After restock B]]-Table3[[#This Row],[Need of C]]</f>
        <v>-180</v>
      </c>
      <c r="N22" s="132">
        <f>IF(Table3[[#This Row],[Before restock C]]&lt;0,0,Table3[[#This Row],[Before restock C]])</f>
        <v>0</v>
      </c>
      <c r="O22" s="132">
        <v>874</v>
      </c>
      <c r="P22" s="132">
        <f>Table3[[#This Row],[After restock C]]-Table3[[#This Row],[Need of D]]</f>
        <v>-874</v>
      </c>
      <c r="Q22" s="132">
        <f>IF(Table3[[#This Row],[Before restock D]]&lt;0,0,Table3[[#This Row],[Before restock D]])</f>
        <v>0</v>
      </c>
      <c r="R22" s="132">
        <v>70</v>
      </c>
      <c r="S22" s="132">
        <f>Table3[[#This Row],[After restock D]]-Table3[[#This Row],[Need of E]]</f>
        <v>-70</v>
      </c>
      <c r="T22" s="132">
        <f>IF(Table3[[#This Row],[Before restock E]]&lt;0,0,Table3[[#This Row],[Before restock E]])</f>
        <v>0</v>
      </c>
      <c r="U22" s="132">
        <v>600</v>
      </c>
      <c r="V22" s="132">
        <f>Table3[[#This Row],[After restock E]]-Table3[[#This Row],[Need of F]]</f>
        <v>-600</v>
      </c>
      <c r="W22" s="132">
        <f>IF(Table3[[#This Row],[Before restock F]]&lt;0,0,Table3[[#This Row],[Before restock F]])</f>
        <v>0</v>
      </c>
      <c r="X22" s="132">
        <v>1750</v>
      </c>
      <c r="Y22" s="132">
        <f>Table3[[#This Row],[After restock F]]-Table3[[#This Row],[Need of G]]</f>
        <v>-1750</v>
      </c>
      <c r="Z22" s="132">
        <f>IF(Table3[[#This Row],[Before restock G]]&lt;0,0,Table3[[#This Row],[Before restock G]])</f>
        <v>0</v>
      </c>
      <c r="AA22" s="141">
        <f>SUMIF(Table3[[#This Row],[Before restocks A]:[After restock G]],"&lt;0")</f>
        <v>-5094</v>
      </c>
      <c r="AB22" s="133"/>
    </row>
    <row r="23" spans="1:28" s="39" customFormat="1" ht="48.75" hidden="1" customHeight="1" x14ac:dyDescent="0.3">
      <c r="A23" s="130" t="s">
        <v>532</v>
      </c>
      <c r="B23" s="96" t="s">
        <v>259</v>
      </c>
      <c r="C23" s="131" t="s">
        <v>233</v>
      </c>
      <c r="D23" s="131" t="s">
        <v>232</v>
      </c>
      <c r="E23" s="131" t="s">
        <v>557</v>
      </c>
      <c r="F23" s="131">
        <v>3547.6200000000003</v>
      </c>
      <c r="G23" s="131">
        <f>Table3[[#This Row],[Begin stocks]]-Table3[[#This Row],[Need of A]]</f>
        <v>-3504.8041000000003</v>
      </c>
      <c r="H23" s="131">
        <f>IF(Table3[[#This Row],[Before restocks A]]&lt;0, 0, Table3[[#This Row],[Before restocks A]])</f>
        <v>0</v>
      </c>
      <c r="I23" s="132">
        <v>13272</v>
      </c>
      <c r="J23" s="132">
        <f>Table3[[#This Row],[After restocks A]]-Table3[[#This Row],[Need of B]]</f>
        <v>-13272</v>
      </c>
      <c r="K23" s="132">
        <f>IF(Table3[[#This Row],[Before restock B]]&lt;0,0,Table3[[#This Row],[Before restock B]])</f>
        <v>0</v>
      </c>
      <c r="L23" s="132">
        <v>341.28</v>
      </c>
      <c r="M23" s="132">
        <f>Table3[[#This Row],[After restock B]]-Table3[[#This Row],[Need of C]]</f>
        <v>-341.28</v>
      </c>
      <c r="N23" s="132">
        <f>IF(Table3[[#This Row],[Before restock C]]&lt;0,0,Table3[[#This Row],[Before restock C]])</f>
        <v>0</v>
      </c>
      <c r="O23" s="132">
        <v>2408.64</v>
      </c>
      <c r="P23" s="132">
        <f>Table3[[#This Row],[After restock C]]-Table3[[#This Row],[Need of D]]</f>
        <v>-2408.64</v>
      </c>
      <c r="Q23" s="132">
        <f>IF(Table3[[#This Row],[Before restock D]]&lt;0,0,Table3[[#This Row],[Before restock D]])</f>
        <v>0</v>
      </c>
      <c r="R23" s="132">
        <v>1620.7939999999999</v>
      </c>
      <c r="S23" s="132">
        <f>Table3[[#This Row],[After restock D]]-Table3[[#This Row],[Need of E]]</f>
        <v>-1620.7939999999999</v>
      </c>
      <c r="T23" s="132">
        <f>IF(Table3[[#This Row],[Before restock E]]&lt;0,0,Table3[[#This Row],[Before restock E]])</f>
        <v>0</v>
      </c>
      <c r="U23" s="132">
        <v>0</v>
      </c>
      <c r="V23" s="132">
        <f>Table3[[#This Row],[After restock E]]-Table3[[#This Row],[Need of F]]</f>
        <v>0</v>
      </c>
      <c r="W23" s="132">
        <f>IF(Table3[[#This Row],[Before restock F]]&lt;0,0,Table3[[#This Row],[Before restock F]])</f>
        <v>0</v>
      </c>
      <c r="X23" s="132">
        <v>6189.5819999999994</v>
      </c>
      <c r="Y23" s="132">
        <f>Table3[[#This Row],[After restock F]]-Table3[[#This Row],[Need of G]]</f>
        <v>-6189.5819999999994</v>
      </c>
      <c r="Z23" s="132">
        <f>IF(Table3[[#This Row],[Before restock G]]&lt;0,0,Table3[[#This Row],[Before restock G]])</f>
        <v>0</v>
      </c>
      <c r="AA23" s="141">
        <f>SUMIF(Table3[[#This Row],[Before restocks A]:[After restock G]],"&lt;0")</f>
        <v>-27337.1001</v>
      </c>
      <c r="AB23" s="133"/>
    </row>
    <row r="24" spans="1:28" s="39" customFormat="1" ht="16.8" x14ac:dyDescent="0.3">
      <c r="A24" s="130" t="s">
        <v>539</v>
      </c>
      <c r="B24" s="95" t="s">
        <v>579</v>
      </c>
      <c r="C24" s="131" t="s">
        <v>229</v>
      </c>
      <c r="D24" s="131"/>
      <c r="E24" s="131">
        <v>1</v>
      </c>
      <c r="F24" s="131">
        <v>300</v>
      </c>
      <c r="G24" s="131">
        <f>Table3[[#This Row],[Begin stocks]]-Table3[[#This Row],[Need of A]]</f>
        <v>-299</v>
      </c>
      <c r="H24" s="131">
        <f>IF(Table3[[#This Row],[Before restocks A]]&lt;0, 0, Table3[[#This Row],[Before restocks A]])</f>
        <v>0</v>
      </c>
      <c r="I24" s="132">
        <v>4200</v>
      </c>
      <c r="J24" s="132">
        <f>Table3[[#This Row],[After restocks A]]-Table3[[#This Row],[Need of B]]</f>
        <v>-4200</v>
      </c>
      <c r="K24" s="132">
        <f>IF(Table3[[#This Row],[Before restock B]]&lt;0,0,Table3[[#This Row],[Before restock B]])</f>
        <v>0</v>
      </c>
      <c r="L24" s="132">
        <v>120</v>
      </c>
      <c r="M24" s="132">
        <f>Table3[[#This Row],[After restock B]]-Table3[[#This Row],[Need of C]]</f>
        <v>-120</v>
      </c>
      <c r="N24" s="132">
        <f>IF(Table3[[#This Row],[Before restock C]]&lt;0,0,Table3[[#This Row],[Before restock C]])</f>
        <v>0</v>
      </c>
      <c r="O24" s="132">
        <v>1071</v>
      </c>
      <c r="P24" s="132">
        <f>Table3[[#This Row],[After restock C]]-Table3[[#This Row],[Need of D]]</f>
        <v>-1071</v>
      </c>
      <c r="Q24" s="132">
        <f>IF(Table3[[#This Row],[Before restock D]]&lt;0,0,Table3[[#This Row],[Before restock D]])</f>
        <v>0</v>
      </c>
      <c r="R24" s="132">
        <v>280</v>
      </c>
      <c r="S24" s="132">
        <f>Table3[[#This Row],[After restock D]]-Table3[[#This Row],[Need of E]]</f>
        <v>-280</v>
      </c>
      <c r="T24" s="132">
        <f>IF(Table3[[#This Row],[Before restock E]]&lt;0,0,Table3[[#This Row],[Before restock E]])</f>
        <v>0</v>
      </c>
      <c r="U24" s="132">
        <v>1200</v>
      </c>
      <c r="V24" s="132">
        <f>Table3[[#This Row],[After restock E]]-Table3[[#This Row],[Need of F]]</f>
        <v>-1200</v>
      </c>
      <c r="W24" s="132">
        <f>IF(Table3[[#This Row],[Before restock F]]&lt;0,0,Table3[[#This Row],[Before restock F]])</f>
        <v>0</v>
      </c>
      <c r="X24" s="132">
        <v>1960</v>
      </c>
      <c r="Y24" s="132">
        <f>Table3[[#This Row],[After restock F]]-Table3[[#This Row],[Need of G]]</f>
        <v>-1960</v>
      </c>
      <c r="Z24" s="132">
        <f>IF(Table3[[#This Row],[Before restock G]]&lt;0,0,Table3[[#This Row],[Before restock G]])</f>
        <v>0</v>
      </c>
      <c r="AA24" s="141">
        <f>SUMIF(Table3[[#This Row],[Before restocks A]:[After restock G]],"&lt;0")</f>
        <v>-9130</v>
      </c>
      <c r="AB24" s="133"/>
    </row>
    <row r="25" spans="1:28" s="39" customFormat="1" ht="16.8" hidden="1" x14ac:dyDescent="0.3">
      <c r="A25" s="130" t="s">
        <v>534</v>
      </c>
      <c r="B25" s="96" t="s">
        <v>255</v>
      </c>
      <c r="C25" s="131" t="s">
        <v>233</v>
      </c>
      <c r="D25" s="134" t="s">
        <v>232</v>
      </c>
      <c r="E25" s="134" t="s">
        <v>555</v>
      </c>
      <c r="F25" s="134">
        <v>1377</v>
      </c>
      <c r="G25" s="134">
        <f>Table3[[#This Row],[Begin stocks]]-Table3[[#This Row],[Need of A]]</f>
        <v>-1367.82</v>
      </c>
      <c r="H25" s="134">
        <f>IF(Table3[[#This Row],[Before restocks A]]&lt;0, 0, Table3[[#This Row],[Before restocks A]])</f>
        <v>0</v>
      </c>
      <c r="I25" s="132">
        <v>0</v>
      </c>
      <c r="J25" s="132">
        <f>Table3[[#This Row],[After restocks A]]-Table3[[#This Row],[Need of B]]</f>
        <v>0</v>
      </c>
      <c r="K25" s="132">
        <f>IF(Table3[[#This Row],[Before restock B]]&lt;0,0,Table3[[#This Row],[Before restock B]])</f>
        <v>0</v>
      </c>
      <c r="L25" s="132">
        <v>0</v>
      </c>
      <c r="M25" s="132">
        <f>Table3[[#This Row],[After restock B]]-Table3[[#This Row],[Need of C]]</f>
        <v>0</v>
      </c>
      <c r="N25" s="132">
        <f>IF(Table3[[#This Row],[Before restock C]]&lt;0,0,Table3[[#This Row],[Before restock C]])</f>
        <v>0</v>
      </c>
      <c r="O25" s="132">
        <v>0</v>
      </c>
      <c r="P25" s="132">
        <f>Table3[[#This Row],[After restock C]]-Table3[[#This Row],[Need of D]]</f>
        <v>0</v>
      </c>
      <c r="Q25" s="132">
        <f>IF(Table3[[#This Row],[Before restock D]]&lt;0,0,Table3[[#This Row],[Before restock D]])</f>
        <v>0</v>
      </c>
      <c r="R25" s="132">
        <v>0</v>
      </c>
      <c r="S25" s="132">
        <f>Table3[[#This Row],[After restock D]]-Table3[[#This Row],[Need of E]]</f>
        <v>0</v>
      </c>
      <c r="T25" s="132">
        <f>IF(Table3[[#This Row],[Before restock E]]&lt;0,0,Table3[[#This Row],[Before restock E]])</f>
        <v>0</v>
      </c>
      <c r="U25" s="132">
        <v>0</v>
      </c>
      <c r="V25" s="132">
        <f>Table3[[#This Row],[After restock E]]-Table3[[#This Row],[Need of F]]</f>
        <v>0</v>
      </c>
      <c r="W25" s="132">
        <f>IF(Table3[[#This Row],[Before restock F]]&lt;0,0,Table3[[#This Row],[Before restock F]])</f>
        <v>0</v>
      </c>
      <c r="X25" s="132">
        <v>0</v>
      </c>
      <c r="Y25" s="132">
        <f>Table3[[#This Row],[After restock F]]-Table3[[#This Row],[Need of G]]</f>
        <v>0</v>
      </c>
      <c r="Z25" s="132">
        <f>IF(Table3[[#This Row],[Before restock G]]&lt;0,0,Table3[[#This Row],[Before restock G]])</f>
        <v>0</v>
      </c>
      <c r="AA25" s="141">
        <f>SUMIF(Table3[[#This Row],[Before restocks A]:[After restock G]],"&lt;0")</f>
        <v>-1367.82</v>
      </c>
      <c r="AB25" s="133"/>
    </row>
    <row r="26" spans="1:28" s="39" customFormat="1" ht="16.8" hidden="1" x14ac:dyDescent="0.3">
      <c r="A26" s="130" t="s">
        <v>543</v>
      </c>
      <c r="B26" s="94" t="s">
        <v>242</v>
      </c>
      <c r="C26" s="131" t="s">
        <v>229</v>
      </c>
      <c r="D26" s="131"/>
      <c r="E26" s="131">
        <v>0.5</v>
      </c>
      <c r="F26" s="131">
        <v>45</v>
      </c>
      <c r="G26" s="131">
        <f>Table3[[#This Row],[Begin stocks]]-Table3[[#This Row],[Need of A]]</f>
        <v>-44.5</v>
      </c>
      <c r="H26" s="131">
        <f>IF(Table3[[#This Row],[Before restocks A]]&lt;0, 0, Table3[[#This Row],[Before restocks A]])</f>
        <v>0</v>
      </c>
      <c r="I26" s="132">
        <v>0</v>
      </c>
      <c r="J26" s="132">
        <f>Table3[[#This Row],[After restocks A]]-Table3[[#This Row],[Need of B]]</f>
        <v>0</v>
      </c>
      <c r="K26" s="132">
        <f>IF(Table3[[#This Row],[Before restock B]]&lt;0,0,Table3[[#This Row],[Before restock B]])</f>
        <v>0</v>
      </c>
      <c r="L26" s="132">
        <v>0</v>
      </c>
      <c r="M26" s="132">
        <f>Table3[[#This Row],[After restock B]]-Table3[[#This Row],[Need of C]]</f>
        <v>0</v>
      </c>
      <c r="N26" s="132">
        <f>IF(Table3[[#This Row],[Before restock C]]&lt;0,0,Table3[[#This Row],[Before restock C]])</f>
        <v>0</v>
      </c>
      <c r="O26" s="132">
        <v>0</v>
      </c>
      <c r="P26" s="132">
        <f>Table3[[#This Row],[After restock C]]-Table3[[#This Row],[Need of D]]</f>
        <v>0</v>
      </c>
      <c r="Q26" s="132">
        <f>IF(Table3[[#This Row],[Before restock D]]&lt;0,0,Table3[[#This Row],[Before restock D]])</f>
        <v>0</v>
      </c>
      <c r="R26" s="132">
        <v>28</v>
      </c>
      <c r="S26" s="132">
        <f>Table3[[#This Row],[After restock D]]-Table3[[#This Row],[Need of E]]</f>
        <v>-28</v>
      </c>
      <c r="T26" s="132">
        <f>IF(Table3[[#This Row],[Before restock E]]&lt;0,0,Table3[[#This Row],[Before restock E]])</f>
        <v>0</v>
      </c>
      <c r="U26" s="132">
        <v>0</v>
      </c>
      <c r="V26" s="132">
        <f>Table3[[#This Row],[After restock E]]-Table3[[#This Row],[Need of F]]</f>
        <v>0</v>
      </c>
      <c r="W26" s="132">
        <f>IF(Table3[[#This Row],[Before restock F]]&lt;0,0,Table3[[#This Row],[Before restock F]])</f>
        <v>0</v>
      </c>
      <c r="X26" s="132">
        <v>84</v>
      </c>
      <c r="Y26" s="132">
        <f>Table3[[#This Row],[After restock F]]-Table3[[#This Row],[Need of G]]</f>
        <v>-84</v>
      </c>
      <c r="Z26" s="132">
        <f>IF(Table3[[#This Row],[Before restock G]]&lt;0,0,Table3[[#This Row],[Before restock G]])</f>
        <v>0</v>
      </c>
      <c r="AA26" s="141">
        <f>SUMIF(Table3[[#This Row],[Before restocks A]:[After restock G]],"&lt;0")</f>
        <v>-156.5</v>
      </c>
      <c r="AB26" s="133"/>
    </row>
    <row r="27" spans="1:28" s="39" customFormat="1" ht="16.8" hidden="1" x14ac:dyDescent="0.3">
      <c r="A27" s="130" t="s">
        <v>542</v>
      </c>
      <c r="B27" s="94" t="s">
        <v>243</v>
      </c>
      <c r="C27" s="131" t="s">
        <v>229</v>
      </c>
      <c r="D27" s="131"/>
      <c r="E27" s="131">
        <v>0.28000000000000003</v>
      </c>
      <c r="F27" s="131">
        <v>10.500000000000002</v>
      </c>
      <c r="G27" s="131">
        <f>Table3[[#This Row],[Begin stocks]]-Table3[[#This Row],[Need of A]]</f>
        <v>-10.220000000000002</v>
      </c>
      <c r="H27" s="131">
        <f>IF(Table3[[#This Row],[Before restocks A]]&lt;0, 0, Table3[[#This Row],[Before restocks A]])</f>
        <v>0</v>
      </c>
      <c r="I27" s="132">
        <v>140</v>
      </c>
      <c r="J27" s="132">
        <f>Table3[[#This Row],[After restocks A]]-Table3[[#This Row],[Need of B]]</f>
        <v>-140</v>
      </c>
      <c r="K27" s="132">
        <f>IF(Table3[[#This Row],[Before restock B]]&lt;0,0,Table3[[#This Row],[Before restock B]])</f>
        <v>0</v>
      </c>
      <c r="L27" s="132">
        <v>3.5999999999999996</v>
      </c>
      <c r="M27" s="132">
        <f>Table3[[#This Row],[After restock B]]-Table3[[#This Row],[Need of C]]</f>
        <v>-3.5999999999999996</v>
      </c>
      <c r="N27" s="132">
        <f>IF(Table3[[#This Row],[Before restock C]]&lt;0,0,Table3[[#This Row],[Before restock C]])</f>
        <v>0</v>
      </c>
      <c r="O27" s="132">
        <v>25.36</v>
      </c>
      <c r="P27" s="132">
        <f>Table3[[#This Row],[After restock C]]-Table3[[#This Row],[Need of D]]</f>
        <v>-25.36</v>
      </c>
      <c r="Q27" s="132">
        <f>IF(Table3[[#This Row],[Before restock D]]&lt;0,0,Table3[[#This Row],[Before restock D]])</f>
        <v>0</v>
      </c>
      <c r="R27" s="132">
        <v>16.8</v>
      </c>
      <c r="S27" s="132">
        <f>Table3[[#This Row],[After restock D]]-Table3[[#This Row],[Need of E]]</f>
        <v>-16.8</v>
      </c>
      <c r="T27" s="132">
        <f>IF(Table3[[#This Row],[Before restock E]]&lt;0,0,Table3[[#This Row],[Before restock E]])</f>
        <v>0</v>
      </c>
      <c r="U27" s="132">
        <v>0</v>
      </c>
      <c r="V27" s="132">
        <f>Table3[[#This Row],[After restock E]]-Table3[[#This Row],[Need of F]]</f>
        <v>0</v>
      </c>
      <c r="W27" s="132">
        <f>IF(Table3[[#This Row],[Before restock F]]&lt;0,0,Table3[[#This Row],[Before restock F]])</f>
        <v>0</v>
      </c>
      <c r="X27" s="132">
        <v>64.400000000000006</v>
      </c>
      <c r="Y27" s="132">
        <f>Table3[[#This Row],[After restock F]]-Table3[[#This Row],[Need of G]]</f>
        <v>-64.400000000000006</v>
      </c>
      <c r="Z27" s="132">
        <f>IF(Table3[[#This Row],[Before restock G]]&lt;0,0,Table3[[#This Row],[Before restock G]])</f>
        <v>0</v>
      </c>
      <c r="AA27" s="141">
        <f>SUMIF(Table3[[#This Row],[Before restocks A]:[After restock G]],"&lt;0")</f>
        <v>-260.38</v>
      </c>
      <c r="AB27" s="133"/>
    </row>
    <row r="28" spans="1:28" s="39" customFormat="1" ht="16.8" hidden="1" x14ac:dyDescent="0.3">
      <c r="A28" s="130" t="s">
        <v>547</v>
      </c>
      <c r="B28" s="96" t="s">
        <v>237</v>
      </c>
      <c r="C28" s="131" t="s">
        <v>233</v>
      </c>
      <c r="D28" s="131" t="s">
        <v>232</v>
      </c>
      <c r="E28" s="131" t="s">
        <v>554</v>
      </c>
      <c r="F28" s="131">
        <v>550.62</v>
      </c>
      <c r="G28" s="131">
        <f>Table3[[#This Row],[Begin stocks]]-Table3[[#This Row],[Need of A]]</f>
        <v>-537.14400000000001</v>
      </c>
      <c r="H28" s="131">
        <f>IF(Table3[[#This Row],[Before restocks A]]&lt;0, 0, Table3[[#This Row],[Before restocks A]])</f>
        <v>0</v>
      </c>
      <c r="I28" s="132">
        <v>16159.5</v>
      </c>
      <c r="J28" s="132">
        <f>Table3[[#This Row],[After restocks A]]-Table3[[#This Row],[Need of B]]</f>
        <v>-16159.5</v>
      </c>
      <c r="K28" s="132">
        <f>IF(Table3[[#This Row],[Before restock B]]&lt;0,0,Table3[[#This Row],[Before restock B]])</f>
        <v>0</v>
      </c>
      <c r="L28" s="132">
        <v>239.4</v>
      </c>
      <c r="M28" s="132">
        <f>Table3[[#This Row],[After restock B]]-Table3[[#This Row],[Need of C]]</f>
        <v>-239.4</v>
      </c>
      <c r="N28" s="132">
        <f>IF(Table3[[#This Row],[Before restock C]]&lt;0,0,Table3[[#This Row],[Before restock C]])</f>
        <v>0</v>
      </c>
      <c r="O28" s="132">
        <v>5488.5839999999998</v>
      </c>
      <c r="P28" s="132">
        <f>Table3[[#This Row],[After restock C]]-Table3[[#This Row],[Need of D]]</f>
        <v>-5488.5839999999998</v>
      </c>
      <c r="Q28" s="132">
        <f>IF(Table3[[#This Row],[Before restock D]]&lt;0,0,Table3[[#This Row],[Before restock D]])</f>
        <v>0</v>
      </c>
      <c r="R28" s="132">
        <v>0</v>
      </c>
      <c r="S28" s="132">
        <f>Table3[[#This Row],[After restock D]]-Table3[[#This Row],[Need of E]]</f>
        <v>0</v>
      </c>
      <c r="T28" s="132">
        <f>IF(Table3[[#This Row],[Before restock E]]&lt;0,0,Table3[[#This Row],[Before restock E]])</f>
        <v>0</v>
      </c>
      <c r="U28" s="132">
        <v>0</v>
      </c>
      <c r="V28" s="132">
        <f>Table3[[#This Row],[After restock E]]-Table3[[#This Row],[Need of F]]</f>
        <v>0</v>
      </c>
      <c r="W28" s="132">
        <f>IF(Table3[[#This Row],[Before restock F]]&lt;0,0,Table3[[#This Row],[Before restock F]])</f>
        <v>0</v>
      </c>
      <c r="X28" s="132">
        <v>14463.75</v>
      </c>
      <c r="Y28" s="132">
        <f>Table3[[#This Row],[After restock F]]-Table3[[#This Row],[Need of G]]</f>
        <v>-14463.75</v>
      </c>
      <c r="Z28" s="132">
        <f>IF(Table3[[#This Row],[Before restock G]]&lt;0,0,Table3[[#This Row],[Before restock G]])</f>
        <v>0</v>
      </c>
      <c r="AA28" s="141">
        <f>SUMIF(Table3[[#This Row],[Before restocks A]:[After restock G]],"&lt;0")</f>
        <v>-36888.377999999997</v>
      </c>
      <c r="AB28" s="133"/>
    </row>
    <row r="29" spans="1:28" s="39" customFormat="1" ht="16.8" hidden="1" x14ac:dyDescent="0.3">
      <c r="A29" s="130" t="s">
        <v>548</v>
      </c>
      <c r="B29" s="96" t="s">
        <v>234</v>
      </c>
      <c r="C29" s="131" t="s">
        <v>233</v>
      </c>
      <c r="D29" s="131" t="s">
        <v>232</v>
      </c>
      <c r="E29" s="131" t="s">
        <v>553</v>
      </c>
      <c r="F29" s="131">
        <v>1377.06</v>
      </c>
      <c r="G29" s="131">
        <f>Table3[[#This Row],[Begin stocks]]-Table3[[#This Row],[Need of A]]</f>
        <v>-1352.1766</v>
      </c>
      <c r="H29" s="131">
        <f>IF(Table3[[#This Row],[Before restocks A]]&lt;0, 0, Table3[[#This Row],[Before restocks A]])</f>
        <v>0</v>
      </c>
      <c r="I29" s="132">
        <v>23184</v>
      </c>
      <c r="J29" s="132">
        <f>Table3[[#This Row],[After restocks A]]-Table3[[#This Row],[Need of B]]</f>
        <v>-23184</v>
      </c>
      <c r="K29" s="132">
        <f>IF(Table3[[#This Row],[Before restock B]]&lt;0,0,Table3[[#This Row],[Before restock B]])</f>
        <v>0</v>
      </c>
      <c r="L29" s="132">
        <v>0</v>
      </c>
      <c r="M29" s="132">
        <f>Table3[[#This Row],[After restock B]]-Table3[[#This Row],[Need of C]]</f>
        <v>0</v>
      </c>
      <c r="N29" s="132">
        <f>IF(Table3[[#This Row],[Before restock C]]&lt;0,0,Table3[[#This Row],[Before restock C]])</f>
        <v>0</v>
      </c>
      <c r="O29" s="132">
        <v>4173.6720000000005</v>
      </c>
      <c r="P29" s="132">
        <f>Table3[[#This Row],[After restock C]]-Table3[[#This Row],[Need of D]]</f>
        <v>-4173.6720000000005</v>
      </c>
      <c r="Q29" s="132">
        <f>IF(Table3[[#This Row],[Before restock D]]&lt;0,0,Table3[[#This Row],[Before restock D]])</f>
        <v>0</v>
      </c>
      <c r="R29" s="132">
        <v>810.6</v>
      </c>
      <c r="S29" s="132">
        <f>Table3[[#This Row],[After restock D]]-Table3[[#This Row],[Need of E]]</f>
        <v>-810.6</v>
      </c>
      <c r="T29" s="132">
        <f>IF(Table3[[#This Row],[Before restock E]]&lt;0,0,Table3[[#This Row],[Before restock E]])</f>
        <v>0</v>
      </c>
      <c r="U29" s="132">
        <v>0</v>
      </c>
      <c r="V29" s="132">
        <f>Table3[[#This Row],[After restock E]]-Table3[[#This Row],[Need of F]]</f>
        <v>0</v>
      </c>
      <c r="W29" s="132">
        <f>IF(Table3[[#This Row],[Before restock F]]&lt;0,0,Table3[[#This Row],[Before restock F]])</f>
        <v>0</v>
      </c>
      <c r="X29" s="132">
        <v>4750.2</v>
      </c>
      <c r="Y29" s="132">
        <f>Table3[[#This Row],[After restock F]]-Table3[[#This Row],[Need of G]]</f>
        <v>-4750.2</v>
      </c>
      <c r="Z29" s="132">
        <f>IF(Table3[[#This Row],[Before restock G]]&lt;0,0,Table3[[#This Row],[Before restock G]])</f>
        <v>0</v>
      </c>
      <c r="AA29" s="141">
        <f>SUMIF(Table3[[#This Row],[Before restocks A]:[After restock G]],"&lt;0")</f>
        <v>-34270.648599999993</v>
      </c>
      <c r="AB29" s="133"/>
    </row>
    <row r="30" spans="1:28" s="39" customFormat="1" ht="36.6" hidden="1" customHeight="1" x14ac:dyDescent="0.3">
      <c r="A30" s="130" t="s">
        <v>510</v>
      </c>
      <c r="B30" s="92" t="s">
        <v>578</v>
      </c>
      <c r="C30" s="131" t="s">
        <v>240</v>
      </c>
      <c r="D30" s="131"/>
      <c r="E30" s="131">
        <v>2.859</v>
      </c>
      <c r="F30" s="131">
        <v>0</v>
      </c>
      <c r="G30" s="131">
        <f>Table3[[#This Row],[Begin stocks]]-Table3[[#This Row],[Need of A]]</f>
        <v>2.859</v>
      </c>
      <c r="H30" s="131">
        <f>IF(Table3[[#This Row],[Before restocks A]]&lt;0, 0, Table3[[#This Row],[Before restocks A]])</f>
        <v>2.859</v>
      </c>
      <c r="I30" s="132">
        <v>10006.5</v>
      </c>
      <c r="J30" s="132">
        <f>Table3[[#This Row],[After restocks A]]-Table3[[#This Row],[Need of B]]</f>
        <v>-10003.641</v>
      </c>
      <c r="K30" s="132">
        <f>IF(Table3[[#This Row],[Before restock B]]&lt;0,0,Table3[[#This Row],[Before restock B]])</f>
        <v>0</v>
      </c>
      <c r="L30" s="132">
        <v>0</v>
      </c>
      <c r="M30" s="132">
        <f>Table3[[#This Row],[After restock B]]-Table3[[#This Row],[Need of C]]</f>
        <v>0</v>
      </c>
      <c r="N30" s="132">
        <f>IF(Table3[[#This Row],[Before restock C]]&lt;0,0,Table3[[#This Row],[Before restock C]])</f>
        <v>0</v>
      </c>
      <c r="O30" s="132">
        <v>200.13</v>
      </c>
      <c r="P30" s="132">
        <f>Table3[[#This Row],[After restock C]]-Table3[[#This Row],[Need of D]]</f>
        <v>-200.13</v>
      </c>
      <c r="Q30" s="132">
        <f>IF(Table3[[#This Row],[Before restock D]]&lt;0,0,Table3[[#This Row],[Before restock D]])</f>
        <v>0</v>
      </c>
      <c r="R30" s="132">
        <v>0</v>
      </c>
      <c r="S30" s="132">
        <f>Table3[[#This Row],[After restock D]]-Table3[[#This Row],[Need of E]]</f>
        <v>0</v>
      </c>
      <c r="T30" s="132">
        <f>IF(Table3[[#This Row],[Before restock E]]&lt;0,0,Table3[[#This Row],[Before restock E]])</f>
        <v>0</v>
      </c>
      <c r="U30" s="132">
        <v>0</v>
      </c>
      <c r="V30" s="132">
        <f>Table3[[#This Row],[After restock E]]-Table3[[#This Row],[Need of F]]</f>
        <v>0</v>
      </c>
      <c r="W30" s="132">
        <f>IF(Table3[[#This Row],[Before restock F]]&lt;0,0,Table3[[#This Row],[Before restock F]])</f>
        <v>0</v>
      </c>
      <c r="X30" s="132">
        <v>1000.65</v>
      </c>
      <c r="Y30" s="132">
        <f>Table3[[#This Row],[After restock F]]-Table3[[#This Row],[Need of G]]</f>
        <v>-1000.65</v>
      </c>
      <c r="Z30" s="132">
        <f>IF(Table3[[#This Row],[Before restock G]]&lt;0,0,Table3[[#This Row],[Before restock G]])</f>
        <v>0</v>
      </c>
      <c r="AA30" s="141">
        <f>SUMIF(Table3[[#This Row],[Before restocks A]:[After restock G]],"&lt;0")</f>
        <v>-11204.420999999998</v>
      </c>
      <c r="AB30" s="133"/>
    </row>
    <row r="31" spans="1:28" s="39" customFormat="1" ht="43.2" hidden="1" x14ac:dyDescent="0.3">
      <c r="A31" s="130" t="s">
        <v>551</v>
      </c>
      <c r="B31" s="97" t="s">
        <v>577</v>
      </c>
      <c r="C31" s="131" t="s">
        <v>224</v>
      </c>
      <c r="D31" s="131" t="s">
        <v>223</v>
      </c>
      <c r="E31" s="131" t="s">
        <v>445</v>
      </c>
      <c r="F31" s="131">
        <v>0</v>
      </c>
      <c r="G31" s="131">
        <f>Table3[[#This Row],[Begin stocks]]-Table3[[#This Row],[Need of A]]</f>
        <v>8</v>
      </c>
      <c r="H31" s="131">
        <f>IF(Table3[[#This Row],[Before restocks A]]&lt;0, 0, Table3[[#This Row],[Before restocks A]])</f>
        <v>8</v>
      </c>
      <c r="I31" s="132">
        <v>14000</v>
      </c>
      <c r="J31" s="132">
        <f>Table3[[#This Row],[After restocks A]]-Table3[[#This Row],[Need of B]]</f>
        <v>-13992</v>
      </c>
      <c r="K31" s="132">
        <f>IF(Table3[[#This Row],[Before restock B]]&lt;0,0,Table3[[#This Row],[Before restock B]])</f>
        <v>0</v>
      </c>
      <c r="L31" s="132">
        <v>360</v>
      </c>
      <c r="M31" s="132">
        <f>Table3[[#This Row],[After restock B]]-Table3[[#This Row],[Need of C]]</f>
        <v>-360</v>
      </c>
      <c r="N31" s="132">
        <f>IF(Table3[[#This Row],[Before restock C]]&lt;0,0,Table3[[#This Row],[Before restock C]])</f>
        <v>0</v>
      </c>
      <c r="O31" s="132">
        <v>2536</v>
      </c>
      <c r="P31" s="132">
        <f>Table3[[#This Row],[After restock C]]-Table3[[#This Row],[Need of D]]</f>
        <v>-2536</v>
      </c>
      <c r="Q31" s="132">
        <f>IF(Table3[[#This Row],[Before restock D]]&lt;0,0,Table3[[#This Row],[Before restock D]])</f>
        <v>0</v>
      </c>
      <c r="R31" s="132">
        <v>0</v>
      </c>
      <c r="S31" s="132">
        <f>Table3[[#This Row],[After restock D]]-Table3[[#This Row],[Need of E]]</f>
        <v>0</v>
      </c>
      <c r="T31" s="132">
        <f>IF(Table3[[#This Row],[Before restock E]]&lt;0,0,Table3[[#This Row],[Before restock E]])</f>
        <v>0</v>
      </c>
      <c r="U31" s="132">
        <v>0</v>
      </c>
      <c r="V31" s="132">
        <f>Table3[[#This Row],[After restock E]]-Table3[[#This Row],[Need of F]]</f>
        <v>0</v>
      </c>
      <c r="W31" s="132">
        <f>IF(Table3[[#This Row],[Before restock F]]&lt;0,0,Table3[[#This Row],[Before restock F]])</f>
        <v>0</v>
      </c>
      <c r="X31" s="132">
        <v>1400</v>
      </c>
      <c r="Y31" s="132">
        <f>Table3[[#This Row],[After restock F]]-Table3[[#This Row],[Need of G]]</f>
        <v>-1400</v>
      </c>
      <c r="Z31" s="132">
        <f>IF(Table3[[#This Row],[Before restock G]]&lt;0,0,Table3[[#This Row],[Before restock G]])</f>
        <v>0</v>
      </c>
      <c r="AA31" s="141">
        <f>SUMIF(Table3[[#This Row],[Before restocks A]:[After restock G]],"&lt;0")</f>
        <v>-18288</v>
      </c>
      <c r="AB31" s="133"/>
    </row>
    <row r="32" spans="1:28" s="39" customFormat="1" ht="42.75" hidden="1" customHeight="1" x14ac:dyDescent="0.3">
      <c r="A32" s="130" t="s">
        <v>503</v>
      </c>
      <c r="B32" s="88" t="s">
        <v>574</v>
      </c>
      <c r="C32" s="131" t="s">
        <v>229</v>
      </c>
      <c r="D32" s="131"/>
      <c r="E32" s="131">
        <v>23</v>
      </c>
      <c r="F32" s="131">
        <v>750</v>
      </c>
      <c r="G32" s="131">
        <f>Table3[[#This Row],[Begin stocks]]-Table3[[#This Row],[Need of A]]</f>
        <v>-727</v>
      </c>
      <c r="H32" s="131">
        <f>IF(Table3[[#This Row],[Before restocks A]]&lt;0, 0, Table3[[#This Row],[Before restocks A]])</f>
        <v>0</v>
      </c>
      <c r="I32" s="132">
        <v>17500</v>
      </c>
      <c r="J32" s="132">
        <f>Table3[[#This Row],[After restocks A]]-Table3[[#This Row],[Need of B]]</f>
        <v>-17500</v>
      </c>
      <c r="K32" s="132">
        <f>IF(Table3[[#This Row],[Before restock B]]&lt;0,0,Table3[[#This Row],[Before restock B]])</f>
        <v>0</v>
      </c>
      <c r="L32" s="132">
        <v>540</v>
      </c>
      <c r="M32" s="132">
        <f>Table3[[#This Row],[After restock B]]-Table3[[#This Row],[Need of C]]</f>
        <v>-540</v>
      </c>
      <c r="N32" s="132">
        <f>IF(Table3[[#This Row],[Before restock C]]&lt;0,0,Table3[[#This Row],[Before restock C]])</f>
        <v>0</v>
      </c>
      <c r="O32" s="132">
        <v>3734</v>
      </c>
      <c r="P32" s="132">
        <f>Table3[[#This Row],[After restock C]]-Table3[[#This Row],[Need of D]]</f>
        <v>-3734</v>
      </c>
      <c r="Q32" s="132">
        <f>IF(Table3[[#This Row],[Before restock D]]&lt;0,0,Table3[[#This Row],[Before restock D]])</f>
        <v>0</v>
      </c>
      <c r="R32" s="132">
        <v>910</v>
      </c>
      <c r="S32" s="132">
        <f>Table3[[#This Row],[After restock D]]-Table3[[#This Row],[Need of E]]</f>
        <v>-910</v>
      </c>
      <c r="T32" s="132">
        <f>IF(Table3[[#This Row],[Before restock E]]&lt;0,0,Table3[[#This Row],[Before restock E]])</f>
        <v>0</v>
      </c>
      <c r="U32" s="132">
        <v>0</v>
      </c>
      <c r="V32" s="132">
        <f>Table3[[#This Row],[After restock E]]-Table3[[#This Row],[Need of F]]</f>
        <v>0</v>
      </c>
      <c r="W32" s="132">
        <f>IF(Table3[[#This Row],[Before restock F]]&lt;0,0,Table3[[#This Row],[Before restock F]])</f>
        <v>0</v>
      </c>
      <c r="X32" s="132">
        <v>4480</v>
      </c>
      <c r="Y32" s="132">
        <f>Table3[[#This Row],[After restock F]]-Table3[[#This Row],[Need of G]]</f>
        <v>-4480</v>
      </c>
      <c r="Z32" s="132">
        <f>IF(Table3[[#This Row],[Before restock G]]&lt;0,0,Table3[[#This Row],[Before restock G]])</f>
        <v>0</v>
      </c>
      <c r="AA32" s="141">
        <f>SUMIF(Table3[[#This Row],[Before restocks A]:[After restock G]],"&lt;0")</f>
        <v>-27891</v>
      </c>
      <c r="AB32" s="133"/>
    </row>
    <row r="33" spans="1:28" s="39" customFormat="1" ht="42.75" hidden="1" customHeight="1" x14ac:dyDescent="0.3">
      <c r="A33" s="130" t="s">
        <v>494</v>
      </c>
      <c r="B33" s="89" t="s">
        <v>301</v>
      </c>
      <c r="C33" s="131" t="s">
        <v>240</v>
      </c>
      <c r="D33" s="131"/>
      <c r="E33" s="131">
        <v>8.16</v>
      </c>
      <c r="F33" s="131">
        <v>712.8</v>
      </c>
      <c r="G33" s="131">
        <f>Table3[[#This Row],[Begin stocks]]-Table3[[#This Row],[Need of A]]</f>
        <v>-704.64</v>
      </c>
      <c r="H33" s="131">
        <f>IF(Table3[[#This Row],[Before restocks A]]&lt;0, 0, Table3[[#This Row],[Before restocks A]])</f>
        <v>0</v>
      </c>
      <c r="I33" s="132">
        <v>3055.5</v>
      </c>
      <c r="J33" s="132">
        <f>Table3[[#This Row],[After restocks A]]-Table3[[#This Row],[Need of B]]</f>
        <v>-3055.5</v>
      </c>
      <c r="K33" s="132">
        <f>IF(Table3[[#This Row],[Before restock B]]&lt;0,0,Table3[[#This Row],[Before restock B]])</f>
        <v>0</v>
      </c>
      <c r="L33" s="132">
        <v>78.84</v>
      </c>
      <c r="M33" s="132">
        <f>Table3[[#This Row],[After restock B]]-Table3[[#This Row],[Need of C]]</f>
        <v>-78.84</v>
      </c>
      <c r="N33" s="132">
        <f>IF(Table3[[#This Row],[Before restock C]]&lt;0,0,Table3[[#This Row],[Before restock C]])</f>
        <v>0</v>
      </c>
      <c r="O33" s="132">
        <v>555.17399999999998</v>
      </c>
      <c r="P33" s="132">
        <f>Table3[[#This Row],[After restock C]]-Table3[[#This Row],[Need of D]]</f>
        <v>-555.17399999999998</v>
      </c>
      <c r="Q33" s="132">
        <f>IF(Table3[[#This Row],[Before restock D]]&lt;0,0,Table3[[#This Row],[Before restock D]])</f>
        <v>0</v>
      </c>
      <c r="R33" s="132">
        <v>232.26</v>
      </c>
      <c r="S33" s="132">
        <f>Table3[[#This Row],[After restock D]]-Table3[[#This Row],[Need of E]]</f>
        <v>-232.26</v>
      </c>
      <c r="T33" s="132">
        <f>IF(Table3[[#This Row],[Before restock E]]&lt;0,0,Table3[[#This Row],[Before restock E]])</f>
        <v>0</v>
      </c>
      <c r="U33" s="132">
        <v>0</v>
      </c>
      <c r="V33" s="132">
        <f>Table3[[#This Row],[After restock E]]-Table3[[#This Row],[Need of F]]</f>
        <v>0</v>
      </c>
      <c r="W33" s="132">
        <f>IF(Table3[[#This Row],[Before restock F]]&lt;0,0,Table3[[#This Row],[Before restock F]])</f>
        <v>0</v>
      </c>
      <c r="X33" s="132">
        <v>1002.3299999999999</v>
      </c>
      <c r="Y33" s="132">
        <f>Table3[[#This Row],[After restock F]]-Table3[[#This Row],[Need of G]]</f>
        <v>-1002.3299999999999</v>
      </c>
      <c r="Z33" s="132">
        <f>IF(Table3[[#This Row],[Before restock G]]&lt;0,0,Table3[[#This Row],[Before restock G]])</f>
        <v>0</v>
      </c>
      <c r="AA33" s="141">
        <f>SUMIF(Table3[[#This Row],[Before restocks A]:[After restock G]],"&lt;0")</f>
        <v>-5628.7440000000006</v>
      </c>
      <c r="AB33" s="133"/>
    </row>
    <row r="34" spans="1:28" s="39" customFormat="1" ht="42.75" hidden="1" customHeight="1" x14ac:dyDescent="0.3">
      <c r="A34" s="130" t="s">
        <v>495</v>
      </c>
      <c r="B34" s="89" t="s">
        <v>300</v>
      </c>
      <c r="C34" s="131" t="s">
        <v>240</v>
      </c>
      <c r="D34" s="131"/>
      <c r="E34" s="131">
        <v>6.41</v>
      </c>
      <c r="F34" s="131">
        <v>712.8</v>
      </c>
      <c r="G34" s="131">
        <f>Table3[[#This Row],[Begin stocks]]-Table3[[#This Row],[Need of A]]</f>
        <v>-706.39</v>
      </c>
      <c r="H34" s="131">
        <f>IF(Table3[[#This Row],[Before restocks A]]&lt;0, 0, Table3[[#This Row],[Before restocks A]])</f>
        <v>0</v>
      </c>
      <c r="I34" s="132">
        <v>0</v>
      </c>
      <c r="J34" s="132">
        <f>Table3[[#This Row],[After restocks A]]-Table3[[#This Row],[Need of B]]</f>
        <v>0</v>
      </c>
      <c r="K34" s="132">
        <f>IF(Table3[[#This Row],[Before restock B]]&lt;0,0,Table3[[#This Row],[Before restock B]])</f>
        <v>0</v>
      </c>
      <c r="L34" s="132">
        <v>0</v>
      </c>
      <c r="M34" s="132">
        <f>Table3[[#This Row],[After restock B]]-Table3[[#This Row],[Need of C]]</f>
        <v>0</v>
      </c>
      <c r="N34" s="132">
        <f>IF(Table3[[#This Row],[Before restock C]]&lt;0,0,Table3[[#This Row],[Before restock C]])</f>
        <v>0</v>
      </c>
      <c r="O34" s="132">
        <v>0</v>
      </c>
      <c r="P34" s="132">
        <f>Table3[[#This Row],[After restock C]]-Table3[[#This Row],[Need of D]]</f>
        <v>0</v>
      </c>
      <c r="Q34" s="132">
        <f>IF(Table3[[#This Row],[Before restock D]]&lt;0,0,Table3[[#This Row],[Before restock D]])</f>
        <v>0</v>
      </c>
      <c r="R34" s="132">
        <v>232.11999999999998</v>
      </c>
      <c r="S34" s="132">
        <f>Table3[[#This Row],[After restock D]]-Table3[[#This Row],[Need of E]]</f>
        <v>-232.11999999999998</v>
      </c>
      <c r="T34" s="132">
        <f>IF(Table3[[#This Row],[Before restock E]]&lt;0,0,Table3[[#This Row],[Before restock E]])</f>
        <v>0</v>
      </c>
      <c r="U34" s="132">
        <v>0</v>
      </c>
      <c r="V34" s="132">
        <f>Table3[[#This Row],[After restock E]]-Table3[[#This Row],[Need of F]]</f>
        <v>0</v>
      </c>
      <c r="W34" s="132">
        <f>IF(Table3[[#This Row],[Before restock F]]&lt;0,0,Table3[[#This Row],[Before restock F]])</f>
        <v>0</v>
      </c>
      <c r="X34" s="132">
        <v>696.36</v>
      </c>
      <c r="Y34" s="132">
        <f>Table3[[#This Row],[After restock F]]-Table3[[#This Row],[Need of G]]</f>
        <v>-696.36</v>
      </c>
      <c r="Z34" s="132">
        <f>IF(Table3[[#This Row],[Before restock G]]&lt;0,0,Table3[[#This Row],[Before restock G]])</f>
        <v>0</v>
      </c>
      <c r="AA34" s="141">
        <f>SUMIF(Table3[[#This Row],[Before restocks A]:[After restock G]],"&lt;0")</f>
        <v>-1634.87</v>
      </c>
      <c r="AB34" s="133"/>
    </row>
    <row r="35" spans="1:28" s="39" customFormat="1" ht="42.75" hidden="1" customHeight="1" x14ac:dyDescent="0.3">
      <c r="A35" s="130" t="s">
        <v>469</v>
      </c>
      <c r="B35" s="91" t="s">
        <v>573</v>
      </c>
      <c r="C35" s="131" t="s">
        <v>240</v>
      </c>
      <c r="D35" s="131"/>
      <c r="E35" s="131">
        <v>8.5</v>
      </c>
      <c r="F35" s="131">
        <v>870</v>
      </c>
      <c r="G35" s="131">
        <f>Table3[[#This Row],[Begin stocks]]-Table3[[#This Row],[Need of A]]</f>
        <v>-861.5</v>
      </c>
      <c r="H35" s="131">
        <f>IF(Table3[[#This Row],[Before restocks A]]&lt;0, 0, Table3[[#This Row],[Before restocks A]])</f>
        <v>0</v>
      </c>
      <c r="I35" s="132">
        <v>14000</v>
      </c>
      <c r="J35" s="132">
        <f>Table3[[#This Row],[After restocks A]]-Table3[[#This Row],[Need of B]]</f>
        <v>-14000</v>
      </c>
      <c r="K35" s="132">
        <f>IF(Table3[[#This Row],[Before restock B]]&lt;0,0,Table3[[#This Row],[Before restock B]])</f>
        <v>0</v>
      </c>
      <c r="L35" s="132">
        <v>420</v>
      </c>
      <c r="M35" s="132">
        <f>Table3[[#This Row],[After restock B]]-Table3[[#This Row],[Need of C]]</f>
        <v>-420</v>
      </c>
      <c r="N35" s="132">
        <f>IF(Table3[[#This Row],[Before restock C]]&lt;0,0,Table3[[#This Row],[Before restock C]])</f>
        <v>0</v>
      </c>
      <c r="O35" s="132">
        <v>3241</v>
      </c>
      <c r="P35" s="132">
        <f>Table3[[#This Row],[After restock C]]-Table3[[#This Row],[Need of D]]</f>
        <v>-3241</v>
      </c>
      <c r="Q35" s="132">
        <f>IF(Table3[[#This Row],[Before restock D]]&lt;0,0,Table3[[#This Row],[Before restock D]])</f>
        <v>0</v>
      </c>
      <c r="R35" s="132">
        <v>560</v>
      </c>
      <c r="S35" s="132">
        <f>Table3[[#This Row],[After restock D]]-Table3[[#This Row],[Need of E]]</f>
        <v>-560</v>
      </c>
      <c r="T35" s="132">
        <f>IF(Table3[[#This Row],[Before restock E]]&lt;0,0,Table3[[#This Row],[Before restock E]])</f>
        <v>0</v>
      </c>
      <c r="U35" s="132">
        <v>4200</v>
      </c>
      <c r="V35" s="132">
        <f>Table3[[#This Row],[After restock E]]-Table3[[#This Row],[Need of F]]</f>
        <v>-4200</v>
      </c>
      <c r="W35" s="132">
        <f>IF(Table3[[#This Row],[Before restock F]]&lt;0,0,Table3[[#This Row],[Before restock F]])</f>
        <v>0</v>
      </c>
      <c r="X35" s="132">
        <v>6580</v>
      </c>
      <c r="Y35" s="132">
        <f>Table3[[#This Row],[After restock F]]-Table3[[#This Row],[Need of G]]</f>
        <v>-6580</v>
      </c>
      <c r="Z35" s="132">
        <f>IF(Table3[[#This Row],[Before restock G]]&lt;0,0,Table3[[#This Row],[Before restock G]])</f>
        <v>0</v>
      </c>
      <c r="AA35" s="141">
        <f>SUMIF(Table3[[#This Row],[Before restocks A]:[After restock G]],"&lt;0")</f>
        <v>-29862.5</v>
      </c>
      <c r="AB35" s="133"/>
    </row>
    <row r="36" spans="1:28" s="39" customFormat="1" ht="42.75" hidden="1" customHeight="1" x14ac:dyDescent="0.3">
      <c r="A36" s="130" t="s">
        <v>480</v>
      </c>
      <c r="B36" s="89" t="s">
        <v>316</v>
      </c>
      <c r="C36" s="131" t="s">
        <v>240</v>
      </c>
      <c r="D36" s="134"/>
      <c r="E36" s="134">
        <v>0</v>
      </c>
      <c r="F36" s="134">
        <v>0</v>
      </c>
      <c r="G36" s="134">
        <f>Table3[[#This Row],[Begin stocks]]-Table3[[#This Row],[Need of A]]</f>
        <v>0</v>
      </c>
      <c r="H36" s="134">
        <f>IF(Table3[[#This Row],[Before restocks A]]&lt;0, 0, Table3[[#This Row],[Before restocks A]])</f>
        <v>0</v>
      </c>
      <c r="I36" s="132">
        <v>1190.0000000000002</v>
      </c>
      <c r="J36" s="132">
        <f>Table3[[#This Row],[After restocks A]]-Table3[[#This Row],[Need of B]]</f>
        <v>-1190.0000000000002</v>
      </c>
      <c r="K36" s="132">
        <f>IF(Table3[[#This Row],[Before restock B]]&lt;0,0,Table3[[#This Row],[Before restock B]])</f>
        <v>0</v>
      </c>
      <c r="L36" s="132">
        <v>17.28</v>
      </c>
      <c r="M36" s="132">
        <f>Table3[[#This Row],[After restock B]]-Table3[[#This Row],[Need of C]]</f>
        <v>-17.28</v>
      </c>
      <c r="N36" s="132">
        <f>IF(Table3[[#This Row],[Before restock C]]&lt;0,0,Table3[[#This Row],[Before restock C]])</f>
        <v>0</v>
      </c>
      <c r="O36" s="132">
        <v>137.72800000000001</v>
      </c>
      <c r="P36" s="132">
        <f>Table3[[#This Row],[After restock C]]-Table3[[#This Row],[Need of D]]</f>
        <v>-137.72800000000001</v>
      </c>
      <c r="Q36" s="132">
        <f>IF(Table3[[#This Row],[Before restock D]]&lt;0,0,Table3[[#This Row],[Before restock D]])</f>
        <v>0</v>
      </c>
      <c r="R36" s="132">
        <v>0</v>
      </c>
      <c r="S36" s="132">
        <f>Table3[[#This Row],[After restock D]]-Table3[[#This Row],[Need of E]]</f>
        <v>0</v>
      </c>
      <c r="T36" s="132">
        <f>IF(Table3[[#This Row],[Before restock E]]&lt;0,0,Table3[[#This Row],[Before restock E]])</f>
        <v>0</v>
      </c>
      <c r="U36" s="132">
        <v>0</v>
      </c>
      <c r="V36" s="132">
        <f>Table3[[#This Row],[After restock E]]-Table3[[#This Row],[Need of F]]</f>
        <v>0</v>
      </c>
      <c r="W36" s="132">
        <f>IF(Table3[[#This Row],[Before restock F]]&lt;0,0,Table3[[#This Row],[Before restock F]])</f>
        <v>0</v>
      </c>
      <c r="X36" s="132">
        <v>119.00000000000001</v>
      </c>
      <c r="Y36" s="132">
        <f>Table3[[#This Row],[After restock F]]-Table3[[#This Row],[Need of G]]</f>
        <v>-119.00000000000001</v>
      </c>
      <c r="Z36" s="132">
        <f>IF(Table3[[#This Row],[Before restock G]]&lt;0,0,Table3[[#This Row],[Before restock G]])</f>
        <v>0</v>
      </c>
      <c r="AA36" s="141">
        <f>SUMIF(Table3[[#This Row],[Before restocks A]:[After restock G]],"&lt;0")</f>
        <v>-1464.0080000000003</v>
      </c>
      <c r="AB36" s="133"/>
    </row>
    <row r="37" spans="1:28" s="39" customFormat="1" ht="42.75" hidden="1" customHeight="1" x14ac:dyDescent="0.3">
      <c r="A37" s="130" t="s">
        <v>481</v>
      </c>
      <c r="B37" s="89" t="s">
        <v>315</v>
      </c>
      <c r="C37" s="131" t="s">
        <v>240</v>
      </c>
      <c r="D37" s="134"/>
      <c r="E37" s="134">
        <v>1.17</v>
      </c>
      <c r="F37" s="134">
        <v>0</v>
      </c>
      <c r="G37" s="134">
        <f>Table3[[#This Row],[Begin stocks]]-Table3[[#This Row],[Need of A]]</f>
        <v>1.17</v>
      </c>
      <c r="H37" s="134">
        <f>IF(Table3[[#This Row],[Before restocks A]]&lt;0, 0, Table3[[#This Row],[Before restocks A]])</f>
        <v>1.17</v>
      </c>
      <c r="I37" s="132">
        <v>0</v>
      </c>
      <c r="J37" s="132">
        <f>Table3[[#This Row],[After restocks A]]-Table3[[#This Row],[Need of B]]</f>
        <v>1.17</v>
      </c>
      <c r="K37" s="132">
        <f>IF(Table3[[#This Row],[Before restock B]]&lt;0,0,Table3[[#This Row],[Before restock B]])</f>
        <v>1.17</v>
      </c>
      <c r="L37" s="132">
        <v>210.6</v>
      </c>
      <c r="M37" s="132">
        <f>Table3[[#This Row],[After restock B]]-Table3[[#This Row],[Need of C]]</f>
        <v>-209.43</v>
      </c>
      <c r="N37" s="132">
        <f>IF(Table3[[#This Row],[Before restock C]]&lt;0,0,Table3[[#This Row],[Before restock C]])</f>
        <v>0</v>
      </c>
      <c r="O37" s="132">
        <v>0</v>
      </c>
      <c r="P37" s="132">
        <f>Table3[[#This Row],[After restock C]]-Table3[[#This Row],[Need of D]]</f>
        <v>0</v>
      </c>
      <c r="Q37" s="132">
        <f>IF(Table3[[#This Row],[Before restock D]]&lt;0,0,Table3[[#This Row],[Before restock D]])</f>
        <v>0</v>
      </c>
      <c r="R37" s="132">
        <v>0</v>
      </c>
      <c r="S37" s="132">
        <f>Table3[[#This Row],[After restock D]]-Table3[[#This Row],[Need of E]]</f>
        <v>0</v>
      </c>
      <c r="T37" s="132">
        <f>IF(Table3[[#This Row],[Before restock E]]&lt;0,0,Table3[[#This Row],[Before restock E]])</f>
        <v>0</v>
      </c>
      <c r="U37" s="132">
        <v>0</v>
      </c>
      <c r="V37" s="132">
        <f>Table3[[#This Row],[After restock E]]-Table3[[#This Row],[Need of F]]</f>
        <v>0</v>
      </c>
      <c r="W37" s="132">
        <f>IF(Table3[[#This Row],[Before restock F]]&lt;0,0,Table3[[#This Row],[Before restock F]])</f>
        <v>0</v>
      </c>
      <c r="X37" s="132">
        <v>0</v>
      </c>
      <c r="Y37" s="132">
        <f>Table3[[#This Row],[After restock F]]-Table3[[#This Row],[Need of G]]</f>
        <v>0</v>
      </c>
      <c r="Z37" s="132">
        <f>IF(Table3[[#This Row],[Before restock G]]&lt;0,0,Table3[[#This Row],[Before restock G]])</f>
        <v>0</v>
      </c>
      <c r="AA37" s="141">
        <f>SUMIF(Table3[[#This Row],[Before restocks A]:[After restock G]],"&lt;0")</f>
        <v>-209.43</v>
      </c>
      <c r="AB37" s="133"/>
    </row>
    <row r="38" spans="1:28" s="39" customFormat="1" ht="42.75" hidden="1" customHeight="1" x14ac:dyDescent="0.3">
      <c r="A38" s="130" t="s">
        <v>528</v>
      </c>
      <c r="B38" s="93" t="s">
        <v>266</v>
      </c>
      <c r="C38" s="131" t="s">
        <v>229</v>
      </c>
      <c r="D38" s="134"/>
      <c r="E38" s="134">
        <v>40</v>
      </c>
      <c r="F38" s="134">
        <v>0</v>
      </c>
      <c r="G38" s="134">
        <f>Table3[[#This Row],[Begin stocks]]-Table3[[#This Row],[Need of A]]</f>
        <v>40</v>
      </c>
      <c r="H38" s="134">
        <f>IF(Table3[[#This Row],[Before restocks A]]&lt;0, 0, Table3[[#This Row],[Before restocks A]])</f>
        <v>40</v>
      </c>
      <c r="I38" s="132">
        <v>56000</v>
      </c>
      <c r="J38" s="132">
        <f>Table3[[#This Row],[After restocks A]]-Table3[[#This Row],[Need of B]]</f>
        <v>-55960</v>
      </c>
      <c r="K38" s="132">
        <f>IF(Table3[[#This Row],[Before restock B]]&lt;0,0,Table3[[#This Row],[Before restock B]])</f>
        <v>0</v>
      </c>
      <c r="L38" s="132">
        <v>2880</v>
      </c>
      <c r="M38" s="132">
        <f>Table3[[#This Row],[After restock B]]-Table3[[#This Row],[Need of C]]</f>
        <v>-2880</v>
      </c>
      <c r="N38" s="132">
        <f>IF(Table3[[#This Row],[Before restock C]]&lt;0,0,Table3[[#This Row],[Before restock C]])</f>
        <v>0</v>
      </c>
      <c r="O38" s="132">
        <v>10144</v>
      </c>
      <c r="P38" s="132">
        <f>Table3[[#This Row],[After restock C]]-Table3[[#This Row],[Need of D]]</f>
        <v>-10144</v>
      </c>
      <c r="Q38" s="132">
        <f>IF(Table3[[#This Row],[Before restock D]]&lt;0,0,Table3[[#This Row],[Before restock D]])</f>
        <v>0</v>
      </c>
      <c r="R38" s="132">
        <v>0</v>
      </c>
      <c r="S38" s="132">
        <f>Table3[[#This Row],[After restock D]]-Table3[[#This Row],[Need of E]]</f>
        <v>0</v>
      </c>
      <c r="T38" s="132">
        <f>IF(Table3[[#This Row],[Before restock E]]&lt;0,0,Table3[[#This Row],[Before restock E]])</f>
        <v>0</v>
      </c>
      <c r="U38" s="132">
        <v>0</v>
      </c>
      <c r="V38" s="132">
        <f>Table3[[#This Row],[After restock E]]-Table3[[#This Row],[Need of F]]</f>
        <v>0</v>
      </c>
      <c r="W38" s="132">
        <f>IF(Table3[[#This Row],[Before restock F]]&lt;0,0,Table3[[#This Row],[Before restock F]])</f>
        <v>0</v>
      </c>
      <c r="X38" s="132">
        <v>5600</v>
      </c>
      <c r="Y38" s="132">
        <f>Table3[[#This Row],[After restock F]]-Table3[[#This Row],[Need of G]]</f>
        <v>-5600</v>
      </c>
      <c r="Z38" s="132">
        <f>IF(Table3[[#This Row],[Before restock G]]&lt;0,0,Table3[[#This Row],[Before restock G]])</f>
        <v>0</v>
      </c>
      <c r="AA38" s="141">
        <f>SUMIF(Table3[[#This Row],[Before restocks A]:[After restock G]],"&lt;0")</f>
        <v>-74584</v>
      </c>
      <c r="AB38" s="133"/>
    </row>
    <row r="39" spans="1:28" s="39" customFormat="1" ht="42.75" hidden="1" customHeight="1" x14ac:dyDescent="0.3">
      <c r="A39" s="130" t="s">
        <v>472</v>
      </c>
      <c r="B39" s="89" t="s">
        <v>325</v>
      </c>
      <c r="C39" s="131" t="s">
        <v>240</v>
      </c>
      <c r="D39" s="134"/>
      <c r="E39" s="134">
        <v>1.25</v>
      </c>
      <c r="F39" s="134">
        <v>0</v>
      </c>
      <c r="G39" s="134">
        <f>Table3[[#This Row],[Begin stocks]]-Table3[[#This Row],[Need of A]]</f>
        <v>1.25</v>
      </c>
      <c r="H39" s="134">
        <f>IF(Table3[[#This Row],[Before restocks A]]&lt;0, 0, Table3[[#This Row],[Before restocks A]])</f>
        <v>1.25</v>
      </c>
      <c r="I39" s="132">
        <v>4375</v>
      </c>
      <c r="J39" s="132">
        <f>Table3[[#This Row],[After restocks A]]-Table3[[#This Row],[Need of B]]</f>
        <v>-4373.75</v>
      </c>
      <c r="K39" s="132">
        <f>IF(Table3[[#This Row],[Before restock B]]&lt;0,0,Table3[[#This Row],[Before restock B]])</f>
        <v>0</v>
      </c>
      <c r="L39" s="132">
        <v>0</v>
      </c>
      <c r="M39" s="132">
        <f>Table3[[#This Row],[After restock B]]-Table3[[#This Row],[Need of C]]</f>
        <v>0</v>
      </c>
      <c r="N39" s="132">
        <f>IF(Table3[[#This Row],[Before restock C]]&lt;0,0,Table3[[#This Row],[Before restock C]])</f>
        <v>0</v>
      </c>
      <c r="O39" s="132">
        <v>87.5</v>
      </c>
      <c r="P39" s="132">
        <f>Table3[[#This Row],[After restock C]]-Table3[[#This Row],[Need of D]]</f>
        <v>-87.5</v>
      </c>
      <c r="Q39" s="132">
        <f>IF(Table3[[#This Row],[Before restock D]]&lt;0,0,Table3[[#This Row],[Before restock D]])</f>
        <v>0</v>
      </c>
      <c r="R39" s="132">
        <v>0</v>
      </c>
      <c r="S39" s="132">
        <f>Table3[[#This Row],[After restock D]]-Table3[[#This Row],[Need of E]]</f>
        <v>0</v>
      </c>
      <c r="T39" s="132">
        <f>IF(Table3[[#This Row],[Before restock E]]&lt;0,0,Table3[[#This Row],[Before restock E]])</f>
        <v>0</v>
      </c>
      <c r="U39" s="132">
        <v>0</v>
      </c>
      <c r="V39" s="132">
        <f>Table3[[#This Row],[After restock E]]-Table3[[#This Row],[Need of F]]</f>
        <v>0</v>
      </c>
      <c r="W39" s="132">
        <f>IF(Table3[[#This Row],[Before restock F]]&lt;0,0,Table3[[#This Row],[Before restock F]])</f>
        <v>0</v>
      </c>
      <c r="X39" s="132">
        <v>437.5</v>
      </c>
      <c r="Y39" s="132">
        <f>Table3[[#This Row],[After restock F]]-Table3[[#This Row],[Need of G]]</f>
        <v>-437.5</v>
      </c>
      <c r="Z39" s="132">
        <f>IF(Table3[[#This Row],[Before restock G]]&lt;0,0,Table3[[#This Row],[Before restock G]])</f>
        <v>0</v>
      </c>
      <c r="AA39" s="141">
        <f>SUMIF(Table3[[#This Row],[Before restocks A]:[After restock G]],"&lt;0")</f>
        <v>-4898.75</v>
      </c>
      <c r="AB39" s="133"/>
    </row>
    <row r="40" spans="1:28" s="39" customFormat="1" ht="42.75" hidden="1" customHeight="1" x14ac:dyDescent="0.3">
      <c r="A40" s="130" t="s">
        <v>471</v>
      </c>
      <c r="B40" s="89" t="s">
        <v>326</v>
      </c>
      <c r="C40" s="131" t="s">
        <v>240</v>
      </c>
      <c r="D40" s="131"/>
      <c r="E40" s="131">
        <v>9.2639999999999993</v>
      </c>
      <c r="F40" s="131">
        <v>443.52000000000004</v>
      </c>
      <c r="G40" s="131">
        <f>Table3[[#This Row],[Begin stocks]]-Table3[[#This Row],[Need of A]]</f>
        <v>-434.25600000000003</v>
      </c>
      <c r="H40" s="131">
        <f>IF(Table3[[#This Row],[Before restocks A]]&lt;0, 0, Table3[[#This Row],[Before restocks A]])</f>
        <v>0</v>
      </c>
      <c r="I40" s="132">
        <v>0</v>
      </c>
      <c r="J40" s="132">
        <f>Table3[[#This Row],[After restocks A]]-Table3[[#This Row],[Need of B]]</f>
        <v>0</v>
      </c>
      <c r="K40" s="132">
        <f>IF(Table3[[#This Row],[Before restock B]]&lt;0,0,Table3[[#This Row],[Before restock B]])</f>
        <v>0</v>
      </c>
      <c r="L40" s="132">
        <v>0</v>
      </c>
      <c r="M40" s="132">
        <f>Table3[[#This Row],[After restock B]]-Table3[[#This Row],[Need of C]]</f>
        <v>0</v>
      </c>
      <c r="N40" s="132">
        <f>IF(Table3[[#This Row],[Before restock C]]&lt;0,0,Table3[[#This Row],[Before restock C]])</f>
        <v>0</v>
      </c>
      <c r="O40" s="132">
        <v>2084.5440000000003</v>
      </c>
      <c r="P40" s="132">
        <f>Table3[[#This Row],[After restock C]]-Table3[[#This Row],[Need of D]]</f>
        <v>-2084.5440000000003</v>
      </c>
      <c r="Q40" s="132">
        <f>IF(Table3[[#This Row],[Before restock D]]&lt;0,0,Table3[[#This Row],[Before restock D]])</f>
        <v>0</v>
      </c>
      <c r="R40" s="132">
        <v>705.6</v>
      </c>
      <c r="S40" s="132">
        <f>Table3[[#This Row],[After restock D]]-Table3[[#This Row],[Need of E]]</f>
        <v>-705.6</v>
      </c>
      <c r="T40" s="132">
        <f>IF(Table3[[#This Row],[Before restock E]]&lt;0,0,Table3[[#This Row],[Before restock E]])</f>
        <v>0</v>
      </c>
      <c r="U40" s="132">
        <v>0</v>
      </c>
      <c r="V40" s="132">
        <f>Table3[[#This Row],[After restock E]]-Table3[[#This Row],[Need of F]]</f>
        <v>0</v>
      </c>
      <c r="W40" s="132">
        <f>IF(Table3[[#This Row],[Before restock F]]&lt;0,0,Table3[[#This Row],[Before restock F]])</f>
        <v>0</v>
      </c>
      <c r="X40" s="132">
        <v>12465.600000000002</v>
      </c>
      <c r="Y40" s="132">
        <f>Table3[[#This Row],[After restock F]]-Table3[[#This Row],[Need of G]]</f>
        <v>-12465.600000000002</v>
      </c>
      <c r="Z40" s="132">
        <f>IF(Table3[[#This Row],[Before restock G]]&lt;0,0,Table3[[#This Row],[Before restock G]])</f>
        <v>0</v>
      </c>
      <c r="AA40" s="141">
        <f>SUMIF(Table3[[#This Row],[Before restocks A]:[After restock G]],"&lt;0")</f>
        <v>-15690.000000000002</v>
      </c>
      <c r="AB40" s="133"/>
    </row>
    <row r="41" spans="1:28" s="39" customFormat="1" ht="42.75" hidden="1" customHeight="1" x14ac:dyDescent="0.3">
      <c r="A41" s="130" t="s">
        <v>457</v>
      </c>
      <c r="B41" s="89" t="s">
        <v>341</v>
      </c>
      <c r="C41" s="131" t="s">
        <v>240</v>
      </c>
      <c r="D41" s="134" t="s">
        <v>250</v>
      </c>
      <c r="E41" s="134" t="s">
        <v>560</v>
      </c>
      <c r="F41" s="134">
        <v>0</v>
      </c>
      <c r="G41" s="134">
        <f>Table3[[#This Row],[Begin stocks]]-Table3[[#This Row],[Need of A]]</f>
        <v>0</v>
      </c>
      <c r="H41" s="134">
        <f>IF(Table3[[#This Row],[Before restocks A]]&lt;0, 0, Table3[[#This Row],[Before restocks A]])</f>
        <v>0</v>
      </c>
      <c r="I41" s="132">
        <v>1680</v>
      </c>
      <c r="J41" s="132">
        <f>Table3[[#This Row],[After restocks A]]-Table3[[#This Row],[Need of B]]</f>
        <v>-1680</v>
      </c>
      <c r="K41" s="132">
        <f>IF(Table3[[#This Row],[Before restock B]]&lt;0,0,Table3[[#This Row],[Before restock B]])</f>
        <v>0</v>
      </c>
      <c r="L41" s="132">
        <v>43.199999999999996</v>
      </c>
      <c r="M41" s="132">
        <f>Table3[[#This Row],[After restock B]]-Table3[[#This Row],[Need of C]]</f>
        <v>-43.199999999999996</v>
      </c>
      <c r="N41" s="132">
        <f>IF(Table3[[#This Row],[Before restock C]]&lt;0,0,Table3[[#This Row],[Before restock C]])</f>
        <v>0</v>
      </c>
      <c r="O41" s="132">
        <v>304.32</v>
      </c>
      <c r="P41" s="132">
        <f>Table3[[#This Row],[After restock C]]-Table3[[#This Row],[Need of D]]</f>
        <v>-304.32</v>
      </c>
      <c r="Q41" s="132">
        <f>IF(Table3[[#This Row],[Before restock D]]&lt;0,0,Table3[[#This Row],[Before restock D]])</f>
        <v>0</v>
      </c>
      <c r="R41" s="132">
        <v>0</v>
      </c>
      <c r="S41" s="132">
        <f>Table3[[#This Row],[After restock D]]-Table3[[#This Row],[Need of E]]</f>
        <v>0</v>
      </c>
      <c r="T41" s="132">
        <f>IF(Table3[[#This Row],[Before restock E]]&lt;0,0,Table3[[#This Row],[Before restock E]])</f>
        <v>0</v>
      </c>
      <c r="U41" s="132">
        <v>0</v>
      </c>
      <c r="V41" s="132">
        <f>Table3[[#This Row],[After restock E]]-Table3[[#This Row],[Need of F]]</f>
        <v>0</v>
      </c>
      <c r="W41" s="132">
        <f>IF(Table3[[#This Row],[Before restock F]]&lt;0,0,Table3[[#This Row],[Before restock F]])</f>
        <v>0</v>
      </c>
      <c r="X41" s="132">
        <v>168</v>
      </c>
      <c r="Y41" s="132">
        <f>Table3[[#This Row],[After restock F]]-Table3[[#This Row],[Need of G]]</f>
        <v>-168</v>
      </c>
      <c r="Z41" s="132">
        <f>IF(Table3[[#This Row],[Before restock G]]&lt;0,0,Table3[[#This Row],[Before restock G]])</f>
        <v>0</v>
      </c>
      <c r="AA41" s="141">
        <f>SUMIF(Table3[[#This Row],[Before restocks A]:[After restock G]],"&lt;0")</f>
        <v>-2195.52</v>
      </c>
      <c r="AB41" s="133"/>
    </row>
    <row r="42" spans="1:28" s="39" customFormat="1" ht="42.75" hidden="1" customHeight="1" x14ac:dyDescent="0.3">
      <c r="A42" s="130" t="s">
        <v>459</v>
      </c>
      <c r="B42" s="89" t="s">
        <v>338</v>
      </c>
      <c r="C42" s="131" t="s">
        <v>240</v>
      </c>
      <c r="D42" s="134" t="s">
        <v>250</v>
      </c>
      <c r="E42" s="134" t="s">
        <v>561</v>
      </c>
      <c r="F42" s="134">
        <v>0</v>
      </c>
      <c r="G42" s="134">
        <f>Table3[[#This Row],[Begin stocks]]-Table3[[#This Row],[Need of A]]</f>
        <v>0.48</v>
      </c>
      <c r="H42" s="134">
        <f>IF(Table3[[#This Row],[Before restocks A]]&lt;0, 0, Table3[[#This Row],[Before restocks A]])</f>
        <v>0.48</v>
      </c>
      <c r="I42" s="132">
        <v>840</v>
      </c>
      <c r="J42" s="132">
        <f>Table3[[#This Row],[After restocks A]]-Table3[[#This Row],[Need of B]]</f>
        <v>-839.52</v>
      </c>
      <c r="K42" s="132">
        <f>IF(Table3[[#This Row],[Before restock B]]&lt;0,0,Table3[[#This Row],[Before restock B]])</f>
        <v>0</v>
      </c>
      <c r="L42" s="132">
        <v>21.599999999999998</v>
      </c>
      <c r="M42" s="132">
        <f>Table3[[#This Row],[After restock B]]-Table3[[#This Row],[Need of C]]</f>
        <v>-21.599999999999998</v>
      </c>
      <c r="N42" s="132">
        <f>IF(Table3[[#This Row],[Before restock C]]&lt;0,0,Table3[[#This Row],[Before restock C]])</f>
        <v>0</v>
      </c>
      <c r="O42" s="132">
        <v>152.16</v>
      </c>
      <c r="P42" s="132">
        <f>Table3[[#This Row],[After restock C]]-Table3[[#This Row],[Need of D]]</f>
        <v>-152.16</v>
      </c>
      <c r="Q42" s="132">
        <f>IF(Table3[[#This Row],[Before restock D]]&lt;0,0,Table3[[#This Row],[Before restock D]])</f>
        <v>0</v>
      </c>
      <c r="R42" s="132">
        <v>0</v>
      </c>
      <c r="S42" s="132">
        <f>Table3[[#This Row],[After restock D]]-Table3[[#This Row],[Need of E]]</f>
        <v>0</v>
      </c>
      <c r="T42" s="132">
        <f>IF(Table3[[#This Row],[Before restock E]]&lt;0,0,Table3[[#This Row],[Before restock E]])</f>
        <v>0</v>
      </c>
      <c r="U42" s="132">
        <v>0</v>
      </c>
      <c r="V42" s="132">
        <f>Table3[[#This Row],[After restock E]]-Table3[[#This Row],[Need of F]]</f>
        <v>0</v>
      </c>
      <c r="W42" s="132">
        <f>IF(Table3[[#This Row],[Before restock F]]&lt;0,0,Table3[[#This Row],[Before restock F]])</f>
        <v>0</v>
      </c>
      <c r="X42" s="132">
        <v>84</v>
      </c>
      <c r="Y42" s="132">
        <f>Table3[[#This Row],[After restock F]]-Table3[[#This Row],[Need of G]]</f>
        <v>-84</v>
      </c>
      <c r="Z42" s="132">
        <f>IF(Table3[[#This Row],[Before restock G]]&lt;0,0,Table3[[#This Row],[Before restock G]])</f>
        <v>0</v>
      </c>
      <c r="AA42" s="141">
        <f>SUMIF(Table3[[#This Row],[Before restocks A]:[After restock G]],"&lt;0")</f>
        <v>-1097.28</v>
      </c>
      <c r="AB42" s="133"/>
    </row>
    <row r="43" spans="1:28" s="39" customFormat="1" ht="42.75" hidden="1" customHeight="1" x14ac:dyDescent="0.3">
      <c r="A43" s="130" t="s">
        <v>458</v>
      </c>
      <c r="B43" s="89" t="s">
        <v>420</v>
      </c>
      <c r="C43" s="131" t="s">
        <v>240</v>
      </c>
      <c r="D43" s="134"/>
      <c r="E43" s="134">
        <v>2.9630000000000001</v>
      </c>
      <c r="F43" s="134">
        <v>0</v>
      </c>
      <c r="G43" s="134">
        <f>Table3[[#This Row],[Begin stocks]]-Table3[[#This Row],[Need of A]]</f>
        <v>2.9630000000000001</v>
      </c>
      <c r="H43" s="134">
        <f>IF(Table3[[#This Row],[Before restocks A]]&lt;0, 0, Table3[[#This Row],[Before restocks A]])</f>
        <v>2.9630000000000001</v>
      </c>
      <c r="I43" s="132">
        <v>5180</v>
      </c>
      <c r="J43" s="132">
        <f>Table3[[#This Row],[After restocks A]]-Table3[[#This Row],[Need of B]]</f>
        <v>-5177.0370000000003</v>
      </c>
      <c r="K43" s="132">
        <f>IF(Table3[[#This Row],[Before restock B]]&lt;0,0,Table3[[#This Row],[Before restock B]])</f>
        <v>0</v>
      </c>
      <c r="L43" s="132">
        <v>133.74</v>
      </c>
      <c r="M43" s="132">
        <f>Table3[[#This Row],[After restock B]]-Table3[[#This Row],[Need of C]]</f>
        <v>-133.74</v>
      </c>
      <c r="N43" s="132">
        <f>IF(Table3[[#This Row],[Before restock C]]&lt;0,0,Table3[[#This Row],[Before restock C]])</f>
        <v>0</v>
      </c>
      <c r="O43" s="132">
        <v>938.32</v>
      </c>
      <c r="P43" s="132">
        <f>Table3[[#This Row],[After restock C]]-Table3[[#This Row],[Need of D]]</f>
        <v>-938.32</v>
      </c>
      <c r="Q43" s="132">
        <f>IF(Table3[[#This Row],[Before restock D]]&lt;0,0,Table3[[#This Row],[Before restock D]])</f>
        <v>0</v>
      </c>
      <c r="R43" s="132">
        <v>0</v>
      </c>
      <c r="S43" s="132">
        <f>Table3[[#This Row],[After restock D]]-Table3[[#This Row],[Need of E]]</f>
        <v>0</v>
      </c>
      <c r="T43" s="132">
        <f>IF(Table3[[#This Row],[Before restock E]]&lt;0,0,Table3[[#This Row],[Before restock E]])</f>
        <v>0</v>
      </c>
      <c r="U43" s="132">
        <v>0</v>
      </c>
      <c r="V43" s="132">
        <f>Table3[[#This Row],[After restock E]]-Table3[[#This Row],[Need of F]]</f>
        <v>0</v>
      </c>
      <c r="W43" s="132">
        <f>IF(Table3[[#This Row],[Before restock F]]&lt;0,0,Table3[[#This Row],[Before restock F]])</f>
        <v>0</v>
      </c>
      <c r="X43" s="132">
        <v>518</v>
      </c>
      <c r="Y43" s="132">
        <f>Table3[[#This Row],[After restock F]]-Table3[[#This Row],[Need of G]]</f>
        <v>-518</v>
      </c>
      <c r="Z43" s="132">
        <f>IF(Table3[[#This Row],[Before restock G]]&lt;0,0,Table3[[#This Row],[Before restock G]])</f>
        <v>0</v>
      </c>
      <c r="AA43" s="141">
        <f>SUMIF(Table3[[#This Row],[Before restocks A]:[After restock G]],"&lt;0")</f>
        <v>-6767.0969999999998</v>
      </c>
      <c r="AB43" s="133"/>
    </row>
    <row r="44" spans="1:28" s="39" customFormat="1" ht="42.75" hidden="1" customHeight="1" x14ac:dyDescent="0.3">
      <c r="A44" s="130" t="s">
        <v>550</v>
      </c>
      <c r="B44" s="97" t="s">
        <v>421</v>
      </c>
      <c r="C44" s="131" t="s">
        <v>224</v>
      </c>
      <c r="D44" s="131" t="s">
        <v>223</v>
      </c>
      <c r="E44" s="131" t="s">
        <v>443</v>
      </c>
      <c r="F44" s="131">
        <v>0</v>
      </c>
      <c r="G44" s="131">
        <f>Table3[[#This Row],[Begin stocks]]-Table3[[#This Row],[Need of A]]</f>
        <v>2</v>
      </c>
      <c r="H44" s="131">
        <f>IF(Table3[[#This Row],[Before restocks A]]&lt;0, 0, Table3[[#This Row],[Before restocks A]])</f>
        <v>2</v>
      </c>
      <c r="I44" s="132">
        <v>0</v>
      </c>
      <c r="J44" s="132">
        <f>Table3[[#This Row],[After restocks A]]-Table3[[#This Row],[Need of B]]</f>
        <v>2</v>
      </c>
      <c r="K44" s="132">
        <f>IF(Table3[[#This Row],[Before restock B]]&lt;0,0,Table3[[#This Row],[Before restock B]])</f>
        <v>2</v>
      </c>
      <c r="L44" s="132">
        <v>360</v>
      </c>
      <c r="M44" s="132">
        <f>Table3[[#This Row],[After restock B]]-Table3[[#This Row],[Need of C]]</f>
        <v>-358</v>
      </c>
      <c r="N44" s="132">
        <f>IF(Table3[[#This Row],[Before restock C]]&lt;0,0,Table3[[#This Row],[Before restock C]])</f>
        <v>0</v>
      </c>
      <c r="O44" s="132">
        <v>0</v>
      </c>
      <c r="P44" s="132">
        <f>Table3[[#This Row],[After restock C]]-Table3[[#This Row],[Need of D]]</f>
        <v>0</v>
      </c>
      <c r="Q44" s="132">
        <f>IF(Table3[[#This Row],[Before restock D]]&lt;0,0,Table3[[#This Row],[Before restock D]])</f>
        <v>0</v>
      </c>
      <c r="R44" s="132">
        <v>0</v>
      </c>
      <c r="S44" s="132">
        <f>Table3[[#This Row],[After restock D]]-Table3[[#This Row],[Need of E]]</f>
        <v>0</v>
      </c>
      <c r="T44" s="132">
        <f>IF(Table3[[#This Row],[Before restock E]]&lt;0,0,Table3[[#This Row],[Before restock E]])</f>
        <v>0</v>
      </c>
      <c r="U44" s="132">
        <v>0</v>
      </c>
      <c r="V44" s="132">
        <f>Table3[[#This Row],[After restock E]]-Table3[[#This Row],[Need of F]]</f>
        <v>0</v>
      </c>
      <c r="W44" s="132">
        <f>IF(Table3[[#This Row],[Before restock F]]&lt;0,0,Table3[[#This Row],[Before restock F]])</f>
        <v>0</v>
      </c>
      <c r="X44" s="132">
        <v>0</v>
      </c>
      <c r="Y44" s="132">
        <f>Table3[[#This Row],[After restock F]]-Table3[[#This Row],[Need of G]]</f>
        <v>0</v>
      </c>
      <c r="Z44" s="132">
        <f>IF(Table3[[#This Row],[Before restock G]]&lt;0,0,Table3[[#This Row],[Before restock G]])</f>
        <v>0</v>
      </c>
      <c r="AA44" s="141">
        <f>SUMIF(Table3[[#This Row],[Before restocks A]:[After restock G]],"&lt;0")</f>
        <v>-358</v>
      </c>
      <c r="AB44" s="133"/>
    </row>
    <row r="45" spans="1:28" s="39" customFormat="1" ht="42.75" hidden="1" customHeight="1" x14ac:dyDescent="0.3">
      <c r="A45" s="130" t="s">
        <v>496</v>
      </c>
      <c r="B45" s="89" t="s">
        <v>572</v>
      </c>
      <c r="C45" s="131" t="s">
        <v>240</v>
      </c>
      <c r="D45" s="134"/>
      <c r="E45" s="134">
        <v>20.350000000000001</v>
      </c>
      <c r="F45" s="134">
        <v>0</v>
      </c>
      <c r="G45" s="134">
        <f>Table3[[#This Row],[Begin stocks]]-Table3[[#This Row],[Need of A]]</f>
        <v>20.350000000000001</v>
      </c>
      <c r="H45" s="134">
        <f>IF(Table3[[#This Row],[Before restocks A]]&lt;0, 0, Table3[[#This Row],[Before restocks A]])</f>
        <v>20.350000000000001</v>
      </c>
      <c r="I45" s="132">
        <v>35605.5</v>
      </c>
      <c r="J45" s="132">
        <f>Table3[[#This Row],[After restocks A]]-Table3[[#This Row],[Need of B]]</f>
        <v>-35585.15</v>
      </c>
      <c r="K45" s="132">
        <f>IF(Table3[[#This Row],[Before restock B]]&lt;0,0,Table3[[#This Row],[Before restock B]])</f>
        <v>0</v>
      </c>
      <c r="L45" s="132">
        <v>915.66</v>
      </c>
      <c r="M45" s="132">
        <f>Table3[[#This Row],[After restock B]]-Table3[[#This Row],[Need of C]]</f>
        <v>-915.66</v>
      </c>
      <c r="N45" s="132">
        <f>IF(Table3[[#This Row],[Before restock C]]&lt;0,0,Table3[[#This Row],[Before restock C]])</f>
        <v>0</v>
      </c>
      <c r="O45" s="132">
        <v>6453.6299999999992</v>
      </c>
      <c r="P45" s="132">
        <f>Table3[[#This Row],[After restock C]]-Table3[[#This Row],[Need of D]]</f>
        <v>-6453.6299999999992</v>
      </c>
      <c r="Q45" s="132">
        <f>IF(Table3[[#This Row],[Before restock D]]&lt;0,0,Table3[[#This Row],[Before restock D]])</f>
        <v>0</v>
      </c>
      <c r="R45" s="132">
        <v>0</v>
      </c>
      <c r="S45" s="132">
        <f>Table3[[#This Row],[After restock D]]-Table3[[#This Row],[Need of E]]</f>
        <v>0</v>
      </c>
      <c r="T45" s="132">
        <f>IF(Table3[[#This Row],[Before restock E]]&lt;0,0,Table3[[#This Row],[Before restock E]])</f>
        <v>0</v>
      </c>
      <c r="U45" s="132">
        <v>0</v>
      </c>
      <c r="V45" s="132">
        <f>Table3[[#This Row],[After restock E]]-Table3[[#This Row],[Need of F]]</f>
        <v>0</v>
      </c>
      <c r="W45" s="132">
        <f>IF(Table3[[#This Row],[Before restock F]]&lt;0,0,Table3[[#This Row],[Before restock F]])</f>
        <v>0</v>
      </c>
      <c r="X45" s="132">
        <v>3560.55</v>
      </c>
      <c r="Y45" s="132">
        <f>Table3[[#This Row],[After restock F]]-Table3[[#This Row],[Need of G]]</f>
        <v>-3560.55</v>
      </c>
      <c r="Z45" s="132">
        <f>IF(Table3[[#This Row],[Before restock G]]&lt;0,0,Table3[[#This Row],[Before restock G]])</f>
        <v>0</v>
      </c>
      <c r="AA45" s="141">
        <f>SUMIF(Table3[[#This Row],[Before restocks A]:[After restock G]],"&lt;0")</f>
        <v>-46514.990000000005</v>
      </c>
      <c r="AB45" s="133"/>
    </row>
    <row r="46" spans="1:28" s="39" customFormat="1" ht="42.75" hidden="1" customHeight="1" x14ac:dyDescent="0.3">
      <c r="A46" s="130" t="s">
        <v>473</v>
      </c>
      <c r="B46" s="89" t="s">
        <v>324</v>
      </c>
      <c r="C46" s="131" t="s">
        <v>240</v>
      </c>
      <c r="D46" s="131"/>
      <c r="E46" s="131">
        <v>1.32</v>
      </c>
      <c r="F46" s="131">
        <v>0</v>
      </c>
      <c r="G46" s="131">
        <f>Table3[[#This Row],[Begin stocks]]-Table3[[#This Row],[Need of A]]</f>
        <v>1.32</v>
      </c>
      <c r="H46" s="131">
        <f>IF(Table3[[#This Row],[Before restocks A]]&lt;0, 0, Table3[[#This Row],[Before restocks A]])</f>
        <v>1.32</v>
      </c>
      <c r="I46" s="132">
        <v>4620</v>
      </c>
      <c r="J46" s="132">
        <f>Table3[[#This Row],[After restocks A]]-Table3[[#This Row],[Need of B]]</f>
        <v>-4618.68</v>
      </c>
      <c r="K46" s="132">
        <f>IF(Table3[[#This Row],[Before restock B]]&lt;0,0,Table3[[#This Row],[Before restock B]])</f>
        <v>0</v>
      </c>
      <c r="L46" s="132">
        <v>0</v>
      </c>
      <c r="M46" s="132">
        <f>Table3[[#This Row],[After restock B]]-Table3[[#This Row],[Need of C]]</f>
        <v>0</v>
      </c>
      <c r="N46" s="132">
        <f>IF(Table3[[#This Row],[Before restock C]]&lt;0,0,Table3[[#This Row],[Before restock C]])</f>
        <v>0</v>
      </c>
      <c r="O46" s="132">
        <v>92.4</v>
      </c>
      <c r="P46" s="132">
        <f>Table3[[#This Row],[After restock C]]-Table3[[#This Row],[Need of D]]</f>
        <v>-92.4</v>
      </c>
      <c r="Q46" s="132">
        <f>IF(Table3[[#This Row],[Before restock D]]&lt;0,0,Table3[[#This Row],[Before restock D]])</f>
        <v>0</v>
      </c>
      <c r="R46" s="132">
        <v>0</v>
      </c>
      <c r="S46" s="132">
        <f>Table3[[#This Row],[After restock D]]-Table3[[#This Row],[Need of E]]</f>
        <v>0</v>
      </c>
      <c r="T46" s="132">
        <f>IF(Table3[[#This Row],[Before restock E]]&lt;0,0,Table3[[#This Row],[Before restock E]])</f>
        <v>0</v>
      </c>
      <c r="U46" s="132">
        <v>0</v>
      </c>
      <c r="V46" s="132">
        <f>Table3[[#This Row],[After restock E]]-Table3[[#This Row],[Need of F]]</f>
        <v>0</v>
      </c>
      <c r="W46" s="132">
        <f>IF(Table3[[#This Row],[Before restock F]]&lt;0,0,Table3[[#This Row],[Before restock F]])</f>
        <v>0</v>
      </c>
      <c r="X46" s="132">
        <v>462.00000000000006</v>
      </c>
      <c r="Y46" s="132">
        <f>Table3[[#This Row],[After restock F]]-Table3[[#This Row],[Need of G]]</f>
        <v>-462.00000000000006</v>
      </c>
      <c r="Z46" s="132">
        <f>IF(Table3[[#This Row],[Before restock G]]&lt;0,0,Table3[[#This Row],[Before restock G]])</f>
        <v>0</v>
      </c>
      <c r="AA46" s="141">
        <f>SUMIF(Table3[[#This Row],[Before restocks A]:[After restock G]],"&lt;0")</f>
        <v>-5173.08</v>
      </c>
      <c r="AB46" s="133"/>
    </row>
    <row r="47" spans="1:28" s="39" customFormat="1" ht="42.75" hidden="1" customHeight="1" x14ac:dyDescent="0.3">
      <c r="A47" s="130" t="s">
        <v>531</v>
      </c>
      <c r="B47" s="92" t="s">
        <v>261</v>
      </c>
      <c r="C47" s="131" t="s">
        <v>260</v>
      </c>
      <c r="D47" s="131"/>
      <c r="E47" s="131">
        <v>0</v>
      </c>
      <c r="F47" s="131">
        <v>0</v>
      </c>
      <c r="G47" s="131">
        <f>Table3[[#This Row],[Begin stocks]]-Table3[[#This Row],[Need of A]]</f>
        <v>0</v>
      </c>
      <c r="H47" s="131">
        <f>IF(Table3[[#This Row],[Before restocks A]]&lt;0, 0, Table3[[#This Row],[Before restocks A]])</f>
        <v>0</v>
      </c>
      <c r="I47" s="132">
        <v>0</v>
      </c>
      <c r="J47" s="132">
        <f>Table3[[#This Row],[After restocks A]]-Table3[[#This Row],[Need of B]]</f>
        <v>0</v>
      </c>
      <c r="K47" s="132">
        <f>IF(Table3[[#This Row],[Before restock B]]&lt;0,0,Table3[[#This Row],[Before restock B]])</f>
        <v>0</v>
      </c>
      <c r="L47" s="132">
        <v>80.099999999999994</v>
      </c>
      <c r="M47" s="132">
        <f>Table3[[#This Row],[After restock B]]-Table3[[#This Row],[Need of C]]</f>
        <v>-80.099999999999994</v>
      </c>
      <c r="N47" s="132">
        <f>IF(Table3[[#This Row],[Before restock C]]&lt;0,0,Table3[[#This Row],[Before restock C]])</f>
        <v>0</v>
      </c>
      <c r="O47" s="132">
        <v>501.96</v>
      </c>
      <c r="P47" s="132">
        <f>Table3[[#This Row],[After restock C]]-Table3[[#This Row],[Need of D]]</f>
        <v>-501.96</v>
      </c>
      <c r="Q47" s="132">
        <f>IF(Table3[[#This Row],[Before restock D]]&lt;0,0,Table3[[#This Row],[Before restock D]])</f>
        <v>0</v>
      </c>
      <c r="R47" s="132">
        <v>0</v>
      </c>
      <c r="S47" s="132">
        <f>Table3[[#This Row],[After restock D]]-Table3[[#This Row],[Need of E]]</f>
        <v>0</v>
      </c>
      <c r="T47" s="132">
        <f>IF(Table3[[#This Row],[Before restock E]]&lt;0,0,Table3[[#This Row],[Before restock E]])</f>
        <v>0</v>
      </c>
      <c r="U47" s="132">
        <v>0</v>
      </c>
      <c r="V47" s="132">
        <f>Table3[[#This Row],[After restock E]]-Table3[[#This Row],[Need of F]]</f>
        <v>0</v>
      </c>
      <c r="W47" s="132">
        <f>IF(Table3[[#This Row],[Before restock F]]&lt;0,0,Table3[[#This Row],[Before restock F]])</f>
        <v>0</v>
      </c>
      <c r="X47" s="132">
        <v>0</v>
      </c>
      <c r="Y47" s="132">
        <f>Table3[[#This Row],[After restock F]]-Table3[[#This Row],[Need of G]]</f>
        <v>0</v>
      </c>
      <c r="Z47" s="132">
        <f>IF(Table3[[#This Row],[Before restock G]]&lt;0,0,Table3[[#This Row],[Before restock G]])</f>
        <v>0</v>
      </c>
      <c r="AA47" s="141">
        <f>SUMIF(Table3[[#This Row],[Before restocks A]:[After restock G]],"&lt;0")</f>
        <v>-582.05999999999995</v>
      </c>
      <c r="AB47" s="133"/>
    </row>
    <row r="48" spans="1:28" s="39" customFormat="1" ht="42.75" hidden="1" customHeight="1" x14ac:dyDescent="0.3">
      <c r="A48" s="130" t="s">
        <v>526</v>
      </c>
      <c r="B48" s="93" t="s">
        <v>268</v>
      </c>
      <c r="C48" s="131" t="s">
        <v>229</v>
      </c>
      <c r="D48" s="134"/>
      <c r="E48" s="134">
        <v>12</v>
      </c>
      <c r="F48" s="134">
        <v>0</v>
      </c>
      <c r="G48" s="134">
        <f>Table3[[#This Row],[Begin stocks]]-Table3[[#This Row],[Need of A]]</f>
        <v>12</v>
      </c>
      <c r="H48" s="134">
        <f>IF(Table3[[#This Row],[Before restocks A]]&lt;0, 0, Table3[[#This Row],[Before restocks A]])</f>
        <v>12</v>
      </c>
      <c r="I48" s="132">
        <v>21000</v>
      </c>
      <c r="J48" s="132">
        <f>Table3[[#This Row],[After restocks A]]-Table3[[#This Row],[Need of B]]</f>
        <v>-20988</v>
      </c>
      <c r="K48" s="132">
        <f>IF(Table3[[#This Row],[Before restock B]]&lt;0,0,Table3[[#This Row],[Before restock B]])</f>
        <v>0</v>
      </c>
      <c r="L48" s="132">
        <v>540</v>
      </c>
      <c r="M48" s="132">
        <f>Table3[[#This Row],[After restock B]]-Table3[[#This Row],[Need of C]]</f>
        <v>-540</v>
      </c>
      <c r="N48" s="132">
        <f>IF(Table3[[#This Row],[Before restock C]]&lt;0,0,Table3[[#This Row],[Before restock C]])</f>
        <v>0</v>
      </c>
      <c r="O48" s="132">
        <v>3804</v>
      </c>
      <c r="P48" s="132">
        <f>Table3[[#This Row],[After restock C]]-Table3[[#This Row],[Need of D]]</f>
        <v>-3804</v>
      </c>
      <c r="Q48" s="132">
        <f>IF(Table3[[#This Row],[Before restock D]]&lt;0,0,Table3[[#This Row],[Before restock D]])</f>
        <v>0</v>
      </c>
      <c r="R48" s="132">
        <v>0</v>
      </c>
      <c r="S48" s="132">
        <f>Table3[[#This Row],[After restock D]]-Table3[[#This Row],[Need of E]]</f>
        <v>0</v>
      </c>
      <c r="T48" s="132">
        <f>IF(Table3[[#This Row],[Before restock E]]&lt;0,0,Table3[[#This Row],[Before restock E]])</f>
        <v>0</v>
      </c>
      <c r="U48" s="132">
        <v>0</v>
      </c>
      <c r="V48" s="132">
        <f>Table3[[#This Row],[After restock E]]-Table3[[#This Row],[Need of F]]</f>
        <v>0</v>
      </c>
      <c r="W48" s="132">
        <f>IF(Table3[[#This Row],[Before restock F]]&lt;0,0,Table3[[#This Row],[Before restock F]])</f>
        <v>0</v>
      </c>
      <c r="X48" s="132">
        <v>2100</v>
      </c>
      <c r="Y48" s="132">
        <f>Table3[[#This Row],[After restock F]]-Table3[[#This Row],[Need of G]]</f>
        <v>-2100</v>
      </c>
      <c r="Z48" s="132">
        <f>IF(Table3[[#This Row],[Before restock G]]&lt;0,0,Table3[[#This Row],[Before restock G]])</f>
        <v>0</v>
      </c>
      <c r="AA48" s="141">
        <f>SUMIF(Table3[[#This Row],[Before restocks A]:[After restock G]],"&lt;0")</f>
        <v>-27432</v>
      </c>
      <c r="AB48" s="133"/>
    </row>
    <row r="49" spans="1:28" s="39" customFormat="1" ht="42.75" hidden="1" customHeight="1" x14ac:dyDescent="0.3">
      <c r="A49" s="130" t="s">
        <v>508</v>
      </c>
      <c r="B49" s="138" t="s">
        <v>286</v>
      </c>
      <c r="C49" s="131" t="s">
        <v>229</v>
      </c>
      <c r="D49" s="131"/>
      <c r="E49" s="131">
        <v>0</v>
      </c>
      <c r="F49" s="131">
        <v>150</v>
      </c>
      <c r="G49" s="131">
        <f>Table3[[#This Row],[Begin stocks]]-Table3[[#This Row],[Need of A]]</f>
        <v>-150</v>
      </c>
      <c r="H49" s="131">
        <f>IF(Table3[[#This Row],[Before restocks A]]&lt;0, 0, Table3[[#This Row],[Before restocks A]])</f>
        <v>0</v>
      </c>
      <c r="I49" s="132">
        <v>0</v>
      </c>
      <c r="J49" s="132">
        <f>Table3[[#This Row],[After restocks A]]-Table3[[#This Row],[Need of B]]</f>
        <v>0</v>
      </c>
      <c r="K49" s="132">
        <f>IF(Table3[[#This Row],[Before restock B]]&lt;0,0,Table3[[#This Row],[Before restock B]])</f>
        <v>0</v>
      </c>
      <c r="L49" s="132">
        <v>60</v>
      </c>
      <c r="M49" s="132">
        <f>Table3[[#This Row],[After restock B]]-Table3[[#This Row],[Need of C]]</f>
        <v>-60</v>
      </c>
      <c r="N49" s="132">
        <f>IF(Table3[[#This Row],[Before restock C]]&lt;0,0,Table3[[#This Row],[Before restock C]])</f>
        <v>0</v>
      </c>
      <c r="O49" s="132">
        <v>0</v>
      </c>
      <c r="P49" s="132">
        <f>Table3[[#This Row],[After restock C]]-Table3[[#This Row],[Need of D]]</f>
        <v>0</v>
      </c>
      <c r="Q49" s="132">
        <f>IF(Table3[[#This Row],[Before restock D]]&lt;0,0,Table3[[#This Row],[Before restock D]])</f>
        <v>0</v>
      </c>
      <c r="R49" s="132">
        <v>0</v>
      </c>
      <c r="S49" s="132">
        <f>Table3[[#This Row],[After restock D]]-Table3[[#This Row],[Need of E]]</f>
        <v>0</v>
      </c>
      <c r="T49" s="132">
        <f>IF(Table3[[#This Row],[Before restock E]]&lt;0,0,Table3[[#This Row],[Before restock E]])</f>
        <v>0</v>
      </c>
      <c r="U49" s="132">
        <v>1500</v>
      </c>
      <c r="V49" s="132">
        <f>Table3[[#This Row],[After restock E]]-Table3[[#This Row],[Need of F]]</f>
        <v>-1500</v>
      </c>
      <c r="W49" s="132">
        <f>IF(Table3[[#This Row],[Before restock F]]&lt;0,0,Table3[[#This Row],[Before restock F]])</f>
        <v>0</v>
      </c>
      <c r="X49" s="132">
        <v>0</v>
      </c>
      <c r="Y49" s="132">
        <f>Table3[[#This Row],[After restock F]]-Table3[[#This Row],[Need of G]]</f>
        <v>0</v>
      </c>
      <c r="Z49" s="132">
        <f>IF(Table3[[#This Row],[Before restock G]]&lt;0,0,Table3[[#This Row],[Before restock G]])</f>
        <v>0</v>
      </c>
      <c r="AA49" s="141">
        <f>SUMIF(Table3[[#This Row],[Before restocks A]:[After restock G]],"&lt;0")</f>
        <v>-1710</v>
      </c>
      <c r="AB49" s="133"/>
    </row>
    <row r="50" spans="1:28" s="39" customFormat="1" ht="42.75" hidden="1" customHeight="1" x14ac:dyDescent="0.3">
      <c r="A50" s="130" t="s">
        <v>479</v>
      </c>
      <c r="B50" s="138" t="s">
        <v>317</v>
      </c>
      <c r="C50" s="131" t="s">
        <v>229</v>
      </c>
      <c r="D50" s="131" t="s">
        <v>262</v>
      </c>
      <c r="E50" s="131" t="s">
        <v>560</v>
      </c>
      <c r="F50" s="131">
        <v>0</v>
      </c>
      <c r="G50" s="131">
        <f>Table3[[#This Row],[Begin stocks]]-Table3[[#This Row],[Need of A]]</f>
        <v>0</v>
      </c>
      <c r="H50" s="131">
        <f>IF(Table3[[#This Row],[Before restocks A]]&lt;0, 0, Table3[[#This Row],[Before restocks A]])</f>
        <v>0</v>
      </c>
      <c r="I50" s="132">
        <v>0</v>
      </c>
      <c r="J50" s="132">
        <f>Table3[[#This Row],[After restocks A]]-Table3[[#This Row],[Need of B]]</f>
        <v>0</v>
      </c>
      <c r="K50" s="132">
        <f>IF(Table3[[#This Row],[Before restock B]]&lt;0,0,Table3[[#This Row],[Before restock B]])</f>
        <v>0</v>
      </c>
      <c r="L50" s="132">
        <v>5.76</v>
      </c>
      <c r="M50" s="132">
        <f>Table3[[#This Row],[After restock B]]-Table3[[#This Row],[Need of C]]</f>
        <v>-5.76</v>
      </c>
      <c r="N50" s="132">
        <f>IF(Table3[[#This Row],[Before restock C]]&lt;0,0,Table3[[#This Row],[Before restock C]])</f>
        <v>0</v>
      </c>
      <c r="O50" s="132">
        <v>0</v>
      </c>
      <c r="P50" s="132">
        <f>Table3[[#This Row],[After restock C]]-Table3[[#This Row],[Need of D]]</f>
        <v>0</v>
      </c>
      <c r="Q50" s="132">
        <f>IF(Table3[[#This Row],[Before restock D]]&lt;0,0,Table3[[#This Row],[Before restock D]])</f>
        <v>0</v>
      </c>
      <c r="R50" s="132">
        <v>0</v>
      </c>
      <c r="S50" s="132">
        <f>Table3[[#This Row],[After restock D]]-Table3[[#This Row],[Need of E]]</f>
        <v>0</v>
      </c>
      <c r="T50" s="132">
        <f>IF(Table3[[#This Row],[Before restock E]]&lt;0,0,Table3[[#This Row],[Before restock E]])</f>
        <v>0</v>
      </c>
      <c r="U50" s="132">
        <v>0</v>
      </c>
      <c r="V50" s="132">
        <f>Table3[[#This Row],[After restock E]]-Table3[[#This Row],[Need of F]]</f>
        <v>0</v>
      </c>
      <c r="W50" s="132">
        <f>IF(Table3[[#This Row],[Before restock F]]&lt;0,0,Table3[[#This Row],[Before restock F]])</f>
        <v>0</v>
      </c>
      <c r="X50" s="132">
        <v>0</v>
      </c>
      <c r="Y50" s="132">
        <f>Table3[[#This Row],[After restock F]]-Table3[[#This Row],[Need of G]]</f>
        <v>0</v>
      </c>
      <c r="Z50" s="132">
        <f>IF(Table3[[#This Row],[Before restock G]]&lt;0,0,Table3[[#This Row],[Before restock G]])</f>
        <v>0</v>
      </c>
      <c r="AA50" s="141">
        <f>SUMIF(Table3[[#This Row],[Before restocks A]:[After restock G]],"&lt;0")</f>
        <v>-5.76</v>
      </c>
      <c r="AB50" s="133"/>
    </row>
    <row r="51" spans="1:28" s="39" customFormat="1" ht="42.75" hidden="1" customHeight="1" x14ac:dyDescent="0.3">
      <c r="A51" s="130" t="s">
        <v>466</v>
      </c>
      <c r="B51" s="90" t="s">
        <v>331</v>
      </c>
      <c r="C51" s="131" t="s">
        <v>229</v>
      </c>
      <c r="D51" s="131"/>
      <c r="E51" s="131">
        <v>0</v>
      </c>
      <c r="F51" s="131">
        <v>0</v>
      </c>
      <c r="G51" s="131">
        <f>Table3[[#This Row],[Begin stocks]]-Table3[[#This Row],[Need of A]]</f>
        <v>0</v>
      </c>
      <c r="H51" s="131">
        <f>IF(Table3[[#This Row],[Before restocks A]]&lt;0, 0, Table3[[#This Row],[Before restocks A]])</f>
        <v>0</v>
      </c>
      <c r="I51" s="132">
        <v>0</v>
      </c>
      <c r="J51" s="132">
        <f>Table3[[#This Row],[After restocks A]]-Table3[[#This Row],[Need of B]]</f>
        <v>0</v>
      </c>
      <c r="K51" s="132">
        <f>IF(Table3[[#This Row],[Before restock B]]&lt;0,0,Table3[[#This Row],[Before restock B]])</f>
        <v>0</v>
      </c>
      <c r="L51" s="132">
        <v>0</v>
      </c>
      <c r="M51" s="132">
        <f>Table3[[#This Row],[After restock B]]-Table3[[#This Row],[Need of C]]</f>
        <v>0</v>
      </c>
      <c r="N51" s="132">
        <f>IF(Table3[[#This Row],[Before restock C]]&lt;0,0,Table3[[#This Row],[Before restock C]])</f>
        <v>0</v>
      </c>
      <c r="O51" s="132">
        <v>0</v>
      </c>
      <c r="P51" s="132">
        <f>Table3[[#This Row],[After restock C]]-Table3[[#This Row],[Need of D]]</f>
        <v>0</v>
      </c>
      <c r="Q51" s="132">
        <f>IF(Table3[[#This Row],[Before restock D]]&lt;0,0,Table3[[#This Row],[Before restock D]])</f>
        <v>0</v>
      </c>
      <c r="R51" s="132">
        <v>0.28000000000000003</v>
      </c>
      <c r="S51" s="132">
        <f>Table3[[#This Row],[After restock D]]-Table3[[#This Row],[Need of E]]</f>
        <v>-0.28000000000000003</v>
      </c>
      <c r="T51" s="132">
        <f>IF(Table3[[#This Row],[Before restock E]]&lt;0,0,Table3[[#This Row],[Before restock E]])</f>
        <v>0</v>
      </c>
      <c r="U51" s="132">
        <v>0</v>
      </c>
      <c r="V51" s="132">
        <f>Table3[[#This Row],[After restock E]]-Table3[[#This Row],[Need of F]]</f>
        <v>0</v>
      </c>
      <c r="W51" s="132">
        <f>IF(Table3[[#This Row],[Before restock F]]&lt;0,0,Table3[[#This Row],[Before restock F]])</f>
        <v>0</v>
      </c>
      <c r="X51" s="132">
        <v>0.84</v>
      </c>
      <c r="Y51" s="132">
        <f>Table3[[#This Row],[After restock F]]-Table3[[#This Row],[Need of G]]</f>
        <v>-0.84</v>
      </c>
      <c r="Z51" s="132">
        <f>IF(Table3[[#This Row],[Before restock G]]&lt;0,0,Table3[[#This Row],[Before restock G]])</f>
        <v>0</v>
      </c>
      <c r="AA51" s="141">
        <f>SUMIF(Table3[[#This Row],[Before restocks A]:[After restock G]],"&lt;0")</f>
        <v>-1.1200000000000001</v>
      </c>
      <c r="AB51" s="133"/>
    </row>
    <row r="52" spans="1:28" s="39" customFormat="1" ht="42.75" hidden="1" customHeight="1" x14ac:dyDescent="0.3">
      <c r="A52" s="130" t="s">
        <v>468</v>
      </c>
      <c r="B52" s="90" t="s">
        <v>329</v>
      </c>
      <c r="C52" s="131" t="s">
        <v>229</v>
      </c>
      <c r="D52" s="131"/>
      <c r="E52" s="131">
        <v>0</v>
      </c>
      <c r="F52" s="131">
        <v>0</v>
      </c>
      <c r="G52" s="131">
        <f>Table3[[#This Row],[Begin stocks]]-Table3[[#This Row],[Need of A]]</f>
        <v>0</v>
      </c>
      <c r="H52" s="131">
        <f>IF(Table3[[#This Row],[Before restocks A]]&lt;0, 0, Table3[[#This Row],[Before restocks A]])</f>
        <v>0</v>
      </c>
      <c r="I52" s="132">
        <v>875</v>
      </c>
      <c r="J52" s="132">
        <f>Table3[[#This Row],[After restocks A]]-Table3[[#This Row],[Need of B]]</f>
        <v>-875</v>
      </c>
      <c r="K52" s="132">
        <f>IF(Table3[[#This Row],[Before restock B]]&lt;0,0,Table3[[#This Row],[Before restock B]])</f>
        <v>0</v>
      </c>
      <c r="L52" s="132">
        <v>22.14</v>
      </c>
      <c r="M52" s="132">
        <f>Table3[[#This Row],[After restock B]]-Table3[[#This Row],[Need of C]]</f>
        <v>-22.14</v>
      </c>
      <c r="N52" s="132">
        <f>IF(Table3[[#This Row],[Before restock C]]&lt;0,0,Table3[[#This Row],[Before restock C]])</f>
        <v>0</v>
      </c>
      <c r="O52" s="132">
        <v>156.244</v>
      </c>
      <c r="P52" s="132">
        <f>Table3[[#This Row],[After restock C]]-Table3[[#This Row],[Need of D]]</f>
        <v>-156.244</v>
      </c>
      <c r="Q52" s="132">
        <f>IF(Table3[[#This Row],[Before restock D]]&lt;0,0,Table3[[#This Row],[Before restock D]])</f>
        <v>0</v>
      </c>
      <c r="R52" s="132">
        <v>0</v>
      </c>
      <c r="S52" s="132">
        <f>Table3[[#This Row],[After restock D]]-Table3[[#This Row],[Need of E]]</f>
        <v>0</v>
      </c>
      <c r="T52" s="132">
        <f>IF(Table3[[#This Row],[Before restock E]]&lt;0,0,Table3[[#This Row],[Before restock E]])</f>
        <v>0</v>
      </c>
      <c r="U52" s="132">
        <v>0</v>
      </c>
      <c r="V52" s="132">
        <f>Table3[[#This Row],[After restock E]]-Table3[[#This Row],[Need of F]]</f>
        <v>0</v>
      </c>
      <c r="W52" s="132">
        <f>IF(Table3[[#This Row],[Before restock F]]&lt;0,0,Table3[[#This Row],[Before restock F]])</f>
        <v>0</v>
      </c>
      <c r="X52" s="132">
        <v>87.5</v>
      </c>
      <c r="Y52" s="132">
        <f>Table3[[#This Row],[After restock F]]-Table3[[#This Row],[Need of G]]</f>
        <v>-87.5</v>
      </c>
      <c r="Z52" s="132">
        <f>IF(Table3[[#This Row],[Before restock G]]&lt;0,0,Table3[[#This Row],[Before restock G]])</f>
        <v>0</v>
      </c>
      <c r="AA52" s="141">
        <f>SUMIF(Table3[[#This Row],[Before restocks A]:[After restock G]],"&lt;0")</f>
        <v>-1140.884</v>
      </c>
      <c r="AB52" s="133"/>
    </row>
    <row r="53" spans="1:28" s="39" customFormat="1" ht="42.75" hidden="1" customHeight="1" x14ac:dyDescent="0.3">
      <c r="A53" s="130" t="s">
        <v>461</v>
      </c>
      <c r="B53" s="90" t="s">
        <v>336</v>
      </c>
      <c r="C53" s="131" t="s">
        <v>229</v>
      </c>
      <c r="D53" s="131"/>
      <c r="E53" s="131">
        <v>0</v>
      </c>
      <c r="F53" s="131">
        <v>0</v>
      </c>
      <c r="G53" s="131">
        <f>Table3[[#This Row],[Begin stocks]]-Table3[[#This Row],[Need of A]]</f>
        <v>0</v>
      </c>
      <c r="H53" s="131">
        <f>IF(Table3[[#This Row],[Before restocks A]]&lt;0, 0, Table3[[#This Row],[Before restocks A]])</f>
        <v>0</v>
      </c>
      <c r="I53" s="132">
        <v>105</v>
      </c>
      <c r="J53" s="132">
        <f>Table3[[#This Row],[After restocks A]]-Table3[[#This Row],[Need of B]]</f>
        <v>-105</v>
      </c>
      <c r="K53" s="132">
        <f>IF(Table3[[#This Row],[Before restock B]]&lt;0,0,Table3[[#This Row],[Before restock B]])</f>
        <v>0</v>
      </c>
      <c r="L53" s="132">
        <v>0</v>
      </c>
      <c r="M53" s="132">
        <f>Table3[[#This Row],[After restock B]]-Table3[[#This Row],[Need of C]]</f>
        <v>0</v>
      </c>
      <c r="N53" s="132">
        <f>IF(Table3[[#This Row],[Before restock C]]&lt;0,0,Table3[[#This Row],[Before restock C]])</f>
        <v>0</v>
      </c>
      <c r="O53" s="132">
        <v>19.02</v>
      </c>
      <c r="P53" s="132">
        <f>Table3[[#This Row],[After restock C]]-Table3[[#This Row],[Need of D]]</f>
        <v>-19.02</v>
      </c>
      <c r="Q53" s="132">
        <f>IF(Table3[[#This Row],[Before restock D]]&lt;0,0,Table3[[#This Row],[Before restock D]])</f>
        <v>0</v>
      </c>
      <c r="R53" s="132">
        <v>0</v>
      </c>
      <c r="S53" s="132">
        <f>Table3[[#This Row],[After restock D]]-Table3[[#This Row],[Need of E]]</f>
        <v>0</v>
      </c>
      <c r="T53" s="132">
        <f>IF(Table3[[#This Row],[Before restock E]]&lt;0,0,Table3[[#This Row],[Before restock E]])</f>
        <v>0</v>
      </c>
      <c r="U53" s="132">
        <v>0</v>
      </c>
      <c r="V53" s="132">
        <f>Table3[[#This Row],[After restock E]]-Table3[[#This Row],[Need of F]]</f>
        <v>0</v>
      </c>
      <c r="W53" s="132">
        <f>IF(Table3[[#This Row],[Before restock F]]&lt;0,0,Table3[[#This Row],[Before restock F]])</f>
        <v>0</v>
      </c>
      <c r="X53" s="132">
        <v>10.5</v>
      </c>
      <c r="Y53" s="132">
        <f>Table3[[#This Row],[After restock F]]-Table3[[#This Row],[Need of G]]</f>
        <v>-10.5</v>
      </c>
      <c r="Z53" s="132">
        <f>IF(Table3[[#This Row],[Before restock G]]&lt;0,0,Table3[[#This Row],[Before restock G]])</f>
        <v>0</v>
      </c>
      <c r="AA53" s="141">
        <f>SUMIF(Table3[[#This Row],[Before restocks A]:[After restock G]],"&lt;0")</f>
        <v>-134.51999999999998</v>
      </c>
      <c r="AB53" s="133"/>
    </row>
    <row r="54" spans="1:28" s="39" customFormat="1" ht="42.75" hidden="1" customHeight="1" x14ac:dyDescent="0.3">
      <c r="A54" s="130" t="s">
        <v>491</v>
      </c>
      <c r="B54" s="90" t="s">
        <v>304</v>
      </c>
      <c r="C54" s="131" t="s">
        <v>229</v>
      </c>
      <c r="D54" s="131"/>
      <c r="E54" s="131">
        <v>0</v>
      </c>
      <c r="F54" s="131">
        <v>0</v>
      </c>
      <c r="G54" s="131">
        <f>Table3[[#This Row],[Begin stocks]]-Table3[[#This Row],[Need of A]]</f>
        <v>0</v>
      </c>
      <c r="H54" s="131">
        <f>IF(Table3[[#This Row],[Before restocks A]]&lt;0, 0, Table3[[#This Row],[Before restocks A]])</f>
        <v>0</v>
      </c>
      <c r="I54" s="132">
        <v>0</v>
      </c>
      <c r="J54" s="132">
        <f>Table3[[#This Row],[After restocks A]]-Table3[[#This Row],[Need of B]]</f>
        <v>0</v>
      </c>
      <c r="K54" s="132">
        <f>IF(Table3[[#This Row],[Before restock B]]&lt;0,0,Table3[[#This Row],[Before restock B]])</f>
        <v>0</v>
      </c>
      <c r="L54" s="132">
        <v>0</v>
      </c>
      <c r="M54" s="132">
        <f>Table3[[#This Row],[After restock B]]-Table3[[#This Row],[Need of C]]</f>
        <v>0</v>
      </c>
      <c r="N54" s="132">
        <f>IF(Table3[[#This Row],[Before restock C]]&lt;0,0,Table3[[#This Row],[Before restock C]])</f>
        <v>0</v>
      </c>
      <c r="O54" s="132">
        <v>293.28000000000003</v>
      </c>
      <c r="P54" s="132">
        <f>Table3[[#This Row],[After restock C]]-Table3[[#This Row],[Need of D]]</f>
        <v>-293.28000000000003</v>
      </c>
      <c r="Q54" s="132">
        <f>IF(Table3[[#This Row],[Before restock D]]&lt;0,0,Table3[[#This Row],[Before restock D]])</f>
        <v>0</v>
      </c>
      <c r="R54" s="132">
        <v>0</v>
      </c>
      <c r="S54" s="132">
        <f>Table3[[#This Row],[After restock D]]-Table3[[#This Row],[Need of E]]</f>
        <v>0</v>
      </c>
      <c r="T54" s="132">
        <f>IF(Table3[[#This Row],[Before restock E]]&lt;0,0,Table3[[#This Row],[Before restock E]])</f>
        <v>0</v>
      </c>
      <c r="U54" s="132">
        <v>0</v>
      </c>
      <c r="V54" s="132">
        <f>Table3[[#This Row],[After restock E]]-Table3[[#This Row],[Need of F]]</f>
        <v>0</v>
      </c>
      <c r="W54" s="132">
        <f>IF(Table3[[#This Row],[Before restock F]]&lt;0,0,Table3[[#This Row],[Before restock F]])</f>
        <v>0</v>
      </c>
      <c r="X54" s="132">
        <v>0</v>
      </c>
      <c r="Y54" s="132">
        <f>Table3[[#This Row],[After restock F]]-Table3[[#This Row],[Need of G]]</f>
        <v>0</v>
      </c>
      <c r="Z54" s="132">
        <f>IF(Table3[[#This Row],[Before restock G]]&lt;0,0,Table3[[#This Row],[Before restock G]])</f>
        <v>0</v>
      </c>
      <c r="AA54" s="141">
        <f>SUMIF(Table3[[#This Row],[Before restocks A]:[After restock G]],"&lt;0")</f>
        <v>-293.28000000000003</v>
      </c>
      <c r="AB54" s="133"/>
    </row>
    <row r="55" spans="1:28" s="39" customFormat="1" ht="42.75" hidden="1" customHeight="1" x14ac:dyDescent="0.3">
      <c r="A55" s="130" t="s">
        <v>490</v>
      </c>
      <c r="B55" s="90" t="s">
        <v>305</v>
      </c>
      <c r="C55" s="131" t="s">
        <v>229</v>
      </c>
      <c r="D55" s="131"/>
      <c r="E55" s="131">
        <v>1.274</v>
      </c>
      <c r="F55" s="131">
        <v>0</v>
      </c>
      <c r="G55" s="131">
        <f>Table3[[#This Row],[Begin stocks]]-Table3[[#This Row],[Need of A]]</f>
        <v>1.274</v>
      </c>
      <c r="H55" s="131">
        <f>IF(Table3[[#This Row],[Before restocks A]]&lt;0, 0, Table3[[#This Row],[Before restocks A]])</f>
        <v>1.274</v>
      </c>
      <c r="I55" s="132">
        <v>2008.9999999999998</v>
      </c>
      <c r="J55" s="132">
        <f>Table3[[#This Row],[After restocks A]]-Table3[[#This Row],[Need of B]]</f>
        <v>-2007.7259999999999</v>
      </c>
      <c r="K55" s="132">
        <f>IF(Table3[[#This Row],[Before restock B]]&lt;0,0,Table3[[#This Row],[Before restock B]])</f>
        <v>0</v>
      </c>
      <c r="L55" s="132">
        <v>77.400000000000006</v>
      </c>
      <c r="M55" s="132">
        <f>Table3[[#This Row],[After restock B]]-Table3[[#This Row],[Need of C]]</f>
        <v>-77.400000000000006</v>
      </c>
      <c r="N55" s="132">
        <f>IF(Table3[[#This Row],[Before restock C]]&lt;0,0,Table3[[#This Row],[Before restock C]])</f>
        <v>0</v>
      </c>
      <c r="O55" s="132">
        <v>344.74</v>
      </c>
      <c r="P55" s="132">
        <f>Table3[[#This Row],[After restock C]]-Table3[[#This Row],[Need of D]]</f>
        <v>-344.74</v>
      </c>
      <c r="Q55" s="132">
        <f>IF(Table3[[#This Row],[Before restock D]]&lt;0,0,Table3[[#This Row],[Before restock D]])</f>
        <v>0</v>
      </c>
      <c r="R55" s="132">
        <v>0</v>
      </c>
      <c r="S55" s="132">
        <f>Table3[[#This Row],[After restock D]]-Table3[[#This Row],[Need of E]]</f>
        <v>0</v>
      </c>
      <c r="T55" s="132">
        <f>IF(Table3[[#This Row],[Before restock E]]&lt;0,0,Table3[[#This Row],[Before restock E]])</f>
        <v>0</v>
      </c>
      <c r="U55" s="132">
        <v>0</v>
      </c>
      <c r="V55" s="132">
        <f>Table3[[#This Row],[After restock E]]-Table3[[#This Row],[Need of F]]</f>
        <v>0</v>
      </c>
      <c r="W55" s="132">
        <f>IF(Table3[[#This Row],[Before restock F]]&lt;0,0,Table3[[#This Row],[Before restock F]])</f>
        <v>0</v>
      </c>
      <c r="X55" s="132">
        <v>200.89999999999998</v>
      </c>
      <c r="Y55" s="132">
        <f>Table3[[#This Row],[After restock F]]-Table3[[#This Row],[Need of G]]</f>
        <v>-200.89999999999998</v>
      </c>
      <c r="Z55" s="132">
        <f>IF(Table3[[#This Row],[Before restock G]]&lt;0,0,Table3[[#This Row],[Before restock G]])</f>
        <v>0</v>
      </c>
      <c r="AA55" s="141">
        <f>SUMIF(Table3[[#This Row],[Before restocks A]:[After restock G]],"&lt;0")</f>
        <v>-2630.7660000000001</v>
      </c>
      <c r="AB55" s="133"/>
    </row>
    <row r="56" spans="1:28" s="39" customFormat="1" ht="42.75" hidden="1" customHeight="1" x14ac:dyDescent="0.3">
      <c r="A56" s="130" t="s">
        <v>484</v>
      </c>
      <c r="B56" s="90" t="s">
        <v>312</v>
      </c>
      <c r="C56" s="131" t="s">
        <v>229</v>
      </c>
      <c r="D56" s="134"/>
      <c r="E56" s="134">
        <v>0</v>
      </c>
      <c r="F56" s="134">
        <v>0</v>
      </c>
      <c r="G56" s="134">
        <f>Table3[[#This Row],[Begin stocks]]-Table3[[#This Row],[Need of A]]</f>
        <v>0</v>
      </c>
      <c r="H56" s="134">
        <f>IF(Table3[[#This Row],[Before restocks A]]&lt;0, 0, Table3[[#This Row],[Before restocks A]])</f>
        <v>0</v>
      </c>
      <c r="I56" s="132">
        <v>0</v>
      </c>
      <c r="J56" s="132">
        <f>Table3[[#This Row],[After restocks A]]-Table3[[#This Row],[Need of B]]</f>
        <v>0</v>
      </c>
      <c r="K56" s="132">
        <f>IF(Table3[[#This Row],[Before restock B]]&lt;0,0,Table3[[#This Row],[Before restock B]])</f>
        <v>0</v>
      </c>
      <c r="L56" s="132">
        <v>0</v>
      </c>
      <c r="M56" s="132">
        <f>Table3[[#This Row],[After restock B]]-Table3[[#This Row],[Need of C]]</f>
        <v>0</v>
      </c>
      <c r="N56" s="132">
        <f>IF(Table3[[#This Row],[Before restock C]]&lt;0,0,Table3[[#This Row],[Before restock C]])</f>
        <v>0</v>
      </c>
      <c r="O56" s="132">
        <v>0</v>
      </c>
      <c r="P56" s="132">
        <f>Table3[[#This Row],[After restock C]]-Table3[[#This Row],[Need of D]]</f>
        <v>0</v>
      </c>
      <c r="Q56" s="132">
        <f>IF(Table3[[#This Row],[Before restock D]]&lt;0,0,Table3[[#This Row],[Before restock D]])</f>
        <v>0</v>
      </c>
      <c r="R56" s="132">
        <v>51.8</v>
      </c>
      <c r="S56" s="132">
        <f>Table3[[#This Row],[After restock D]]-Table3[[#This Row],[Need of E]]</f>
        <v>-51.8</v>
      </c>
      <c r="T56" s="132">
        <f>IF(Table3[[#This Row],[Before restock E]]&lt;0,0,Table3[[#This Row],[Before restock E]])</f>
        <v>0</v>
      </c>
      <c r="U56" s="132">
        <v>0</v>
      </c>
      <c r="V56" s="132">
        <f>Table3[[#This Row],[After restock E]]-Table3[[#This Row],[Need of F]]</f>
        <v>0</v>
      </c>
      <c r="W56" s="132">
        <f>IF(Table3[[#This Row],[Before restock F]]&lt;0,0,Table3[[#This Row],[Before restock F]])</f>
        <v>0</v>
      </c>
      <c r="X56" s="132">
        <v>155.4</v>
      </c>
      <c r="Y56" s="132">
        <f>Table3[[#This Row],[After restock F]]-Table3[[#This Row],[Need of G]]</f>
        <v>-155.4</v>
      </c>
      <c r="Z56" s="132">
        <f>IF(Table3[[#This Row],[Before restock G]]&lt;0,0,Table3[[#This Row],[Before restock G]])</f>
        <v>0</v>
      </c>
      <c r="AA56" s="141">
        <f>SUMIF(Table3[[#This Row],[Before restocks A]:[After restock G]],"&lt;0")</f>
        <v>-207.2</v>
      </c>
      <c r="AB56" s="133"/>
    </row>
    <row r="57" spans="1:28" s="39" customFormat="1" ht="42.75" hidden="1" customHeight="1" x14ac:dyDescent="0.3">
      <c r="A57" s="130" t="s">
        <v>488</v>
      </c>
      <c r="B57" s="90" t="s">
        <v>308</v>
      </c>
      <c r="C57" s="131" t="s">
        <v>229</v>
      </c>
      <c r="D57" s="134" t="s">
        <v>307</v>
      </c>
      <c r="E57" s="134" t="s">
        <v>559</v>
      </c>
      <c r="F57" s="134">
        <v>0</v>
      </c>
      <c r="G57" s="134">
        <f>Table3[[#This Row],[Begin stocks]]-Table3[[#This Row],[Need of A]]</f>
        <v>0.09</v>
      </c>
      <c r="H57" s="134">
        <f>IF(Table3[[#This Row],[Before restocks A]]&lt;0, 0, Table3[[#This Row],[Before restocks A]])</f>
        <v>0.09</v>
      </c>
      <c r="I57" s="132">
        <v>0</v>
      </c>
      <c r="J57" s="132">
        <f>Table3[[#This Row],[After restocks A]]-Table3[[#This Row],[Need of B]]</f>
        <v>0.09</v>
      </c>
      <c r="K57" s="132">
        <f>IF(Table3[[#This Row],[Before restock B]]&lt;0,0,Table3[[#This Row],[Before restock B]])</f>
        <v>0.09</v>
      </c>
      <c r="L57" s="132">
        <v>15</v>
      </c>
      <c r="M57" s="132">
        <f>Table3[[#This Row],[After restock B]]-Table3[[#This Row],[Need of C]]</f>
        <v>-14.91</v>
      </c>
      <c r="N57" s="132">
        <f>IF(Table3[[#This Row],[Before restock C]]&lt;0,0,Table3[[#This Row],[Before restock C]])</f>
        <v>0</v>
      </c>
      <c r="O57" s="132">
        <v>0</v>
      </c>
      <c r="P57" s="132">
        <f>Table3[[#This Row],[After restock C]]-Table3[[#This Row],[Need of D]]</f>
        <v>0</v>
      </c>
      <c r="Q57" s="132">
        <f>IF(Table3[[#This Row],[Before restock D]]&lt;0,0,Table3[[#This Row],[Before restock D]])</f>
        <v>0</v>
      </c>
      <c r="R57" s="132">
        <v>35</v>
      </c>
      <c r="S57" s="132">
        <f>Table3[[#This Row],[After restock D]]-Table3[[#This Row],[Need of E]]</f>
        <v>-35</v>
      </c>
      <c r="T57" s="132">
        <f>IF(Table3[[#This Row],[Before restock E]]&lt;0,0,Table3[[#This Row],[Before restock E]])</f>
        <v>0</v>
      </c>
      <c r="U57" s="132">
        <v>0</v>
      </c>
      <c r="V57" s="132">
        <f>Table3[[#This Row],[After restock E]]-Table3[[#This Row],[Need of F]]</f>
        <v>0</v>
      </c>
      <c r="W57" s="132">
        <f>IF(Table3[[#This Row],[Before restock F]]&lt;0,0,Table3[[#This Row],[Before restock F]])</f>
        <v>0</v>
      </c>
      <c r="X57" s="132">
        <v>105</v>
      </c>
      <c r="Y57" s="132">
        <f>Table3[[#This Row],[After restock F]]-Table3[[#This Row],[Need of G]]</f>
        <v>-105</v>
      </c>
      <c r="Z57" s="132">
        <f>IF(Table3[[#This Row],[Before restock G]]&lt;0,0,Table3[[#This Row],[Before restock G]])</f>
        <v>0</v>
      </c>
      <c r="AA57" s="141">
        <f>SUMIF(Table3[[#This Row],[Before restocks A]:[After restock G]],"&lt;0")</f>
        <v>-154.91</v>
      </c>
      <c r="AB57" s="133"/>
    </row>
    <row r="58" spans="1:28" s="39" customFormat="1" ht="42.75" hidden="1" customHeight="1" x14ac:dyDescent="0.3">
      <c r="A58" s="130" t="s">
        <v>489</v>
      </c>
      <c r="B58" s="90" t="s">
        <v>306</v>
      </c>
      <c r="C58" s="131" t="s">
        <v>229</v>
      </c>
      <c r="D58" s="131"/>
      <c r="E58" s="131">
        <v>0.26</v>
      </c>
      <c r="F58" s="131">
        <v>0</v>
      </c>
      <c r="G58" s="131">
        <f>Table3[[#This Row],[Begin stocks]]-Table3[[#This Row],[Need of A]]</f>
        <v>0.26</v>
      </c>
      <c r="H58" s="131">
        <f>IF(Table3[[#This Row],[Before restocks A]]&lt;0, 0, Table3[[#This Row],[Before restocks A]])</f>
        <v>0.26</v>
      </c>
      <c r="I58" s="132">
        <v>0</v>
      </c>
      <c r="J58" s="132">
        <f>Table3[[#This Row],[After restocks A]]-Table3[[#This Row],[Need of B]]</f>
        <v>0.26</v>
      </c>
      <c r="K58" s="132">
        <f>IF(Table3[[#This Row],[Before restock B]]&lt;0,0,Table3[[#This Row],[Before restock B]])</f>
        <v>0.26</v>
      </c>
      <c r="L58" s="132">
        <v>46.800000000000004</v>
      </c>
      <c r="M58" s="132">
        <f>Table3[[#This Row],[After restock B]]-Table3[[#This Row],[Need of C]]</f>
        <v>-46.540000000000006</v>
      </c>
      <c r="N58" s="132">
        <f>IF(Table3[[#This Row],[Before restock C]]&lt;0,0,Table3[[#This Row],[Before restock C]])</f>
        <v>0</v>
      </c>
      <c r="O58" s="132">
        <v>0</v>
      </c>
      <c r="P58" s="132">
        <f>Table3[[#This Row],[After restock C]]-Table3[[#This Row],[Need of D]]</f>
        <v>0</v>
      </c>
      <c r="Q58" s="132">
        <f>IF(Table3[[#This Row],[Before restock D]]&lt;0,0,Table3[[#This Row],[Before restock D]])</f>
        <v>0</v>
      </c>
      <c r="R58" s="132">
        <v>0</v>
      </c>
      <c r="S58" s="132">
        <f>Table3[[#This Row],[After restock D]]-Table3[[#This Row],[Need of E]]</f>
        <v>0</v>
      </c>
      <c r="T58" s="132">
        <f>IF(Table3[[#This Row],[Before restock E]]&lt;0,0,Table3[[#This Row],[Before restock E]])</f>
        <v>0</v>
      </c>
      <c r="U58" s="132">
        <v>0</v>
      </c>
      <c r="V58" s="132">
        <f>Table3[[#This Row],[After restock E]]-Table3[[#This Row],[Need of F]]</f>
        <v>0</v>
      </c>
      <c r="W58" s="132">
        <f>IF(Table3[[#This Row],[Before restock F]]&lt;0,0,Table3[[#This Row],[Before restock F]])</f>
        <v>0</v>
      </c>
      <c r="X58" s="132">
        <v>0</v>
      </c>
      <c r="Y58" s="132">
        <f>Table3[[#This Row],[After restock F]]-Table3[[#This Row],[Need of G]]</f>
        <v>0</v>
      </c>
      <c r="Z58" s="132">
        <f>IF(Table3[[#This Row],[Before restock G]]&lt;0,0,Table3[[#This Row],[Before restock G]])</f>
        <v>0</v>
      </c>
      <c r="AA58" s="141">
        <f>SUMIF(Table3[[#This Row],[Before restocks A]:[After restock G]],"&lt;0")</f>
        <v>-46.540000000000006</v>
      </c>
      <c r="AB58" s="133"/>
    </row>
    <row r="59" spans="1:28" s="39" customFormat="1" ht="42.75" hidden="1" customHeight="1" x14ac:dyDescent="0.3">
      <c r="A59" s="130" t="s">
        <v>492</v>
      </c>
      <c r="B59" s="90" t="s">
        <v>303</v>
      </c>
      <c r="C59" s="131" t="s">
        <v>229</v>
      </c>
      <c r="D59" s="131"/>
      <c r="E59" s="131">
        <v>0</v>
      </c>
      <c r="F59" s="131">
        <v>0</v>
      </c>
      <c r="G59" s="131">
        <f>Table3[[#This Row],[Begin stocks]]-Table3[[#This Row],[Need of A]]</f>
        <v>0</v>
      </c>
      <c r="H59" s="131">
        <f>IF(Table3[[#This Row],[Before restocks A]]&lt;0, 0, Table3[[#This Row],[Before restocks A]])</f>
        <v>0</v>
      </c>
      <c r="I59" s="132">
        <v>1820</v>
      </c>
      <c r="J59" s="132">
        <f>Table3[[#This Row],[After restocks A]]-Table3[[#This Row],[Need of B]]</f>
        <v>-1820</v>
      </c>
      <c r="K59" s="132">
        <f>IF(Table3[[#This Row],[Before restock B]]&lt;0,0,Table3[[#This Row],[Before restock B]])</f>
        <v>0</v>
      </c>
      <c r="L59" s="132">
        <v>0</v>
      </c>
      <c r="M59" s="132">
        <f>Table3[[#This Row],[After restock B]]-Table3[[#This Row],[Need of C]]</f>
        <v>0</v>
      </c>
      <c r="N59" s="132">
        <f>IF(Table3[[#This Row],[Before restock C]]&lt;0,0,Table3[[#This Row],[Before restock C]])</f>
        <v>0</v>
      </c>
      <c r="O59" s="132">
        <v>36.4</v>
      </c>
      <c r="P59" s="132">
        <f>Table3[[#This Row],[After restock C]]-Table3[[#This Row],[Need of D]]</f>
        <v>-36.4</v>
      </c>
      <c r="Q59" s="132">
        <f>IF(Table3[[#This Row],[Before restock D]]&lt;0,0,Table3[[#This Row],[Before restock D]])</f>
        <v>0</v>
      </c>
      <c r="R59" s="132">
        <v>0</v>
      </c>
      <c r="S59" s="132">
        <f>Table3[[#This Row],[After restock D]]-Table3[[#This Row],[Need of E]]</f>
        <v>0</v>
      </c>
      <c r="T59" s="132">
        <f>IF(Table3[[#This Row],[Before restock E]]&lt;0,0,Table3[[#This Row],[Before restock E]])</f>
        <v>0</v>
      </c>
      <c r="U59" s="132">
        <v>0</v>
      </c>
      <c r="V59" s="132">
        <f>Table3[[#This Row],[After restock E]]-Table3[[#This Row],[Need of F]]</f>
        <v>0</v>
      </c>
      <c r="W59" s="132">
        <f>IF(Table3[[#This Row],[Before restock F]]&lt;0,0,Table3[[#This Row],[Before restock F]])</f>
        <v>0</v>
      </c>
      <c r="X59" s="132">
        <v>182</v>
      </c>
      <c r="Y59" s="132">
        <f>Table3[[#This Row],[After restock F]]-Table3[[#This Row],[Need of G]]</f>
        <v>-182</v>
      </c>
      <c r="Z59" s="132">
        <f>IF(Table3[[#This Row],[Before restock G]]&lt;0,0,Table3[[#This Row],[Before restock G]])</f>
        <v>0</v>
      </c>
      <c r="AA59" s="141">
        <f>SUMIF(Table3[[#This Row],[Before restocks A]:[After restock G]],"&lt;0")</f>
        <v>-2038.4</v>
      </c>
      <c r="AB59" s="133"/>
    </row>
    <row r="60" spans="1:28" s="39" customFormat="1" ht="42.75" hidden="1" customHeight="1" x14ac:dyDescent="0.3">
      <c r="A60" s="130" t="s">
        <v>529</v>
      </c>
      <c r="B60" s="139" t="s">
        <v>580</v>
      </c>
      <c r="C60" s="131" t="s">
        <v>229</v>
      </c>
      <c r="D60" s="131"/>
      <c r="E60" s="131">
        <v>24</v>
      </c>
      <c r="F60" s="131">
        <v>0</v>
      </c>
      <c r="G60" s="131">
        <f>Table3[[#This Row],[Begin stocks]]-Table3[[#This Row],[Need of A]]</f>
        <v>24</v>
      </c>
      <c r="H60" s="131">
        <f>IF(Table3[[#This Row],[Before restocks A]]&lt;0, 0, Table3[[#This Row],[Before restocks A]])</f>
        <v>24</v>
      </c>
      <c r="I60" s="132">
        <v>42000</v>
      </c>
      <c r="J60" s="132">
        <f>Table3[[#This Row],[After restocks A]]-Table3[[#This Row],[Need of B]]</f>
        <v>-41976</v>
      </c>
      <c r="K60" s="132">
        <f>IF(Table3[[#This Row],[Before restock B]]&lt;0,0,Table3[[#This Row],[Before restock B]])</f>
        <v>0</v>
      </c>
      <c r="L60" s="132">
        <v>1080</v>
      </c>
      <c r="M60" s="132">
        <f>Table3[[#This Row],[After restock B]]-Table3[[#This Row],[Need of C]]</f>
        <v>-1080</v>
      </c>
      <c r="N60" s="132">
        <f>IF(Table3[[#This Row],[Before restock C]]&lt;0,0,Table3[[#This Row],[Before restock C]])</f>
        <v>0</v>
      </c>
      <c r="O60" s="132">
        <v>7608</v>
      </c>
      <c r="P60" s="132">
        <f>Table3[[#This Row],[After restock C]]-Table3[[#This Row],[Need of D]]</f>
        <v>-7608</v>
      </c>
      <c r="Q60" s="132">
        <f>IF(Table3[[#This Row],[Before restock D]]&lt;0,0,Table3[[#This Row],[Before restock D]])</f>
        <v>0</v>
      </c>
      <c r="R60" s="132">
        <v>0</v>
      </c>
      <c r="S60" s="132">
        <f>Table3[[#This Row],[After restock D]]-Table3[[#This Row],[Need of E]]</f>
        <v>0</v>
      </c>
      <c r="T60" s="132">
        <f>IF(Table3[[#This Row],[Before restock E]]&lt;0,0,Table3[[#This Row],[Before restock E]])</f>
        <v>0</v>
      </c>
      <c r="U60" s="132">
        <v>0</v>
      </c>
      <c r="V60" s="132">
        <f>Table3[[#This Row],[After restock E]]-Table3[[#This Row],[Need of F]]</f>
        <v>0</v>
      </c>
      <c r="W60" s="132">
        <f>IF(Table3[[#This Row],[Before restock F]]&lt;0,0,Table3[[#This Row],[Before restock F]])</f>
        <v>0</v>
      </c>
      <c r="X60" s="132">
        <v>4200</v>
      </c>
      <c r="Y60" s="132">
        <f>Table3[[#This Row],[After restock F]]-Table3[[#This Row],[Need of G]]</f>
        <v>-4200</v>
      </c>
      <c r="Z60" s="132">
        <f>IF(Table3[[#This Row],[Before restock G]]&lt;0,0,Table3[[#This Row],[Before restock G]])</f>
        <v>0</v>
      </c>
      <c r="AA60" s="141">
        <f>SUMIF(Table3[[#This Row],[Before restocks A]:[After restock G]],"&lt;0")</f>
        <v>-54864</v>
      </c>
      <c r="AB60" s="133"/>
    </row>
    <row r="61" spans="1:28" s="39" customFormat="1" ht="42.75" hidden="1" customHeight="1" x14ac:dyDescent="0.3">
      <c r="A61" s="130" t="s">
        <v>486</v>
      </c>
      <c r="B61" s="90" t="s">
        <v>310</v>
      </c>
      <c r="C61" s="131" t="s">
        <v>229</v>
      </c>
      <c r="D61" s="134" t="s">
        <v>307</v>
      </c>
      <c r="E61" s="134" t="s">
        <v>558</v>
      </c>
      <c r="F61" s="134">
        <v>7.95</v>
      </c>
      <c r="G61" s="134">
        <f>Table3[[#This Row],[Begin stocks]]-Table3[[#This Row],[Need of A]]</f>
        <v>-7.23</v>
      </c>
      <c r="H61" s="134">
        <f>IF(Table3[[#This Row],[Before restocks A]]&lt;0, 0, Table3[[#This Row],[Before restocks A]])</f>
        <v>0</v>
      </c>
      <c r="I61" s="132">
        <v>1109.5</v>
      </c>
      <c r="J61" s="132">
        <f>Table3[[#This Row],[After restocks A]]-Table3[[#This Row],[Need of B]]</f>
        <v>-1109.5</v>
      </c>
      <c r="K61" s="132">
        <f>IF(Table3[[#This Row],[Before restock B]]&lt;0,0,Table3[[#This Row],[Before restock B]])</f>
        <v>0</v>
      </c>
      <c r="L61" s="132">
        <v>29.52</v>
      </c>
      <c r="M61" s="132">
        <f>Table3[[#This Row],[After restock B]]-Table3[[#This Row],[Need of C]]</f>
        <v>-29.52</v>
      </c>
      <c r="N61" s="132">
        <f>IF(Table3[[#This Row],[Before restock C]]&lt;0,0,Table3[[#This Row],[Before restock C]])</f>
        <v>0</v>
      </c>
      <c r="O61" s="132">
        <v>207.18200000000002</v>
      </c>
      <c r="P61" s="132">
        <f>Table3[[#This Row],[After restock C]]-Table3[[#This Row],[Need of D]]</f>
        <v>-207.18200000000002</v>
      </c>
      <c r="Q61" s="132">
        <f>IF(Table3[[#This Row],[Before restock D]]&lt;0,0,Table3[[#This Row],[Before restock D]])</f>
        <v>0</v>
      </c>
      <c r="R61" s="132">
        <v>3.0799999999999996</v>
      </c>
      <c r="S61" s="132">
        <f>Table3[[#This Row],[After restock D]]-Table3[[#This Row],[Need of E]]</f>
        <v>-3.0799999999999996</v>
      </c>
      <c r="T61" s="132">
        <f>IF(Table3[[#This Row],[Before restock E]]&lt;0,0,Table3[[#This Row],[Before restock E]])</f>
        <v>0</v>
      </c>
      <c r="U61" s="132">
        <v>0</v>
      </c>
      <c r="V61" s="132">
        <f>Table3[[#This Row],[After restock E]]-Table3[[#This Row],[Need of F]]</f>
        <v>0</v>
      </c>
      <c r="W61" s="132">
        <f>IF(Table3[[#This Row],[Before restock F]]&lt;0,0,Table3[[#This Row],[Before restock F]])</f>
        <v>0</v>
      </c>
      <c r="X61" s="132">
        <v>120.19</v>
      </c>
      <c r="Y61" s="132">
        <f>Table3[[#This Row],[After restock F]]-Table3[[#This Row],[Need of G]]</f>
        <v>-120.19</v>
      </c>
      <c r="Z61" s="132">
        <f>IF(Table3[[#This Row],[Before restock G]]&lt;0,0,Table3[[#This Row],[Before restock G]])</f>
        <v>0</v>
      </c>
      <c r="AA61" s="141">
        <f>SUMIF(Table3[[#This Row],[Before restocks A]:[After restock G]],"&lt;0")</f>
        <v>-1476.702</v>
      </c>
      <c r="AB61" s="133"/>
    </row>
    <row r="62" spans="1:28" s="39" customFormat="1" ht="42.75" hidden="1" customHeight="1" x14ac:dyDescent="0.3">
      <c r="A62" s="130" t="s">
        <v>493</v>
      </c>
      <c r="B62" s="89" t="s">
        <v>571</v>
      </c>
      <c r="C62" s="131" t="s">
        <v>240</v>
      </c>
      <c r="D62" s="131"/>
      <c r="E62" s="131">
        <v>58.44</v>
      </c>
      <c r="F62" s="131">
        <v>3355.5000000000005</v>
      </c>
      <c r="G62" s="131">
        <f>Table3[[#This Row],[Begin stocks]]-Table3[[#This Row],[Need of A]]</f>
        <v>-3297.0600000000004</v>
      </c>
      <c r="H62" s="131">
        <f>IF(Table3[[#This Row],[Before restocks A]]&lt;0, 0, Table3[[#This Row],[Before restocks A]])</f>
        <v>0</v>
      </c>
      <c r="I62" s="132">
        <v>35000</v>
      </c>
      <c r="J62" s="132">
        <f>Table3[[#This Row],[After restocks A]]-Table3[[#This Row],[Need of B]]</f>
        <v>-35000</v>
      </c>
      <c r="K62" s="132">
        <f>IF(Table3[[#This Row],[Before restock B]]&lt;0,0,Table3[[#This Row],[Before restock B]])</f>
        <v>0</v>
      </c>
      <c r="L62" s="132">
        <v>900</v>
      </c>
      <c r="M62" s="132">
        <f>Table3[[#This Row],[After restock B]]-Table3[[#This Row],[Need of C]]</f>
        <v>-900</v>
      </c>
      <c r="N62" s="132">
        <f>IF(Table3[[#This Row],[Before restock C]]&lt;0,0,Table3[[#This Row],[Before restock C]])</f>
        <v>0</v>
      </c>
      <c r="O62" s="132">
        <v>6340</v>
      </c>
      <c r="P62" s="132">
        <f>Table3[[#This Row],[After restock C]]-Table3[[#This Row],[Need of D]]</f>
        <v>-6340</v>
      </c>
      <c r="Q62" s="132">
        <f>IF(Table3[[#This Row],[Before restock D]]&lt;0,0,Table3[[#This Row],[Before restock D]])</f>
        <v>0</v>
      </c>
      <c r="R62" s="132">
        <v>2249.8000000000002</v>
      </c>
      <c r="S62" s="132">
        <f>Table3[[#This Row],[After restock D]]-Table3[[#This Row],[Need of E]]</f>
        <v>-2249.8000000000002</v>
      </c>
      <c r="T62" s="132">
        <f>IF(Table3[[#This Row],[Before restock E]]&lt;0,0,Table3[[#This Row],[Before restock E]])</f>
        <v>0</v>
      </c>
      <c r="U62" s="132">
        <v>0</v>
      </c>
      <c r="V62" s="132">
        <f>Table3[[#This Row],[After restock E]]-Table3[[#This Row],[Need of F]]</f>
        <v>0</v>
      </c>
      <c r="W62" s="132">
        <f>IF(Table3[[#This Row],[Before restock F]]&lt;0,0,Table3[[#This Row],[Before restock F]])</f>
        <v>0</v>
      </c>
      <c r="X62" s="132">
        <v>10249.400000000001</v>
      </c>
      <c r="Y62" s="132">
        <f>Table3[[#This Row],[After restock F]]-Table3[[#This Row],[Need of G]]</f>
        <v>-10249.400000000001</v>
      </c>
      <c r="Z62" s="132">
        <f>IF(Table3[[#This Row],[Before restock G]]&lt;0,0,Table3[[#This Row],[Before restock G]])</f>
        <v>0</v>
      </c>
      <c r="AA62" s="141">
        <f>SUMIF(Table3[[#This Row],[Before restocks A]:[After restock G]],"&lt;0")</f>
        <v>-58036.26</v>
      </c>
      <c r="AB62" s="133"/>
    </row>
    <row r="63" spans="1:28" s="39" customFormat="1" ht="42.75" hidden="1" customHeight="1" x14ac:dyDescent="0.3">
      <c r="A63" s="130" t="s">
        <v>509</v>
      </c>
      <c r="B63" s="139" t="s">
        <v>285</v>
      </c>
      <c r="C63" s="131" t="s">
        <v>229</v>
      </c>
      <c r="D63" s="131"/>
      <c r="E63" s="131">
        <v>0</v>
      </c>
      <c r="F63" s="131">
        <v>0</v>
      </c>
      <c r="G63" s="131">
        <f>Table3[[#This Row],[Begin stocks]]-Table3[[#This Row],[Need of A]]</f>
        <v>0</v>
      </c>
      <c r="H63" s="131">
        <f>IF(Table3[[#This Row],[Before restocks A]]&lt;0, 0, Table3[[#This Row],[Before restocks A]])</f>
        <v>0</v>
      </c>
      <c r="I63" s="132">
        <v>1050</v>
      </c>
      <c r="J63" s="132">
        <f>Table3[[#This Row],[After restocks A]]-Table3[[#This Row],[Need of B]]</f>
        <v>-1050</v>
      </c>
      <c r="K63" s="132">
        <f>IF(Table3[[#This Row],[Before restock B]]&lt;0,0,Table3[[#This Row],[Before restock B]])</f>
        <v>0</v>
      </c>
      <c r="L63" s="132">
        <v>26.999999999999996</v>
      </c>
      <c r="M63" s="132">
        <f>Table3[[#This Row],[After restock B]]-Table3[[#This Row],[Need of C]]</f>
        <v>-26.999999999999996</v>
      </c>
      <c r="N63" s="132">
        <f>IF(Table3[[#This Row],[Before restock C]]&lt;0,0,Table3[[#This Row],[Before restock C]])</f>
        <v>0</v>
      </c>
      <c r="O63" s="132">
        <v>21</v>
      </c>
      <c r="P63" s="132">
        <f>Table3[[#This Row],[After restock C]]-Table3[[#This Row],[Need of D]]</f>
        <v>-21</v>
      </c>
      <c r="Q63" s="132">
        <f>IF(Table3[[#This Row],[Before restock D]]&lt;0,0,Table3[[#This Row],[Before restock D]])</f>
        <v>0</v>
      </c>
      <c r="R63" s="132">
        <v>0</v>
      </c>
      <c r="S63" s="132">
        <f>Table3[[#This Row],[After restock D]]-Table3[[#This Row],[Need of E]]</f>
        <v>0</v>
      </c>
      <c r="T63" s="132">
        <f>IF(Table3[[#This Row],[Before restock E]]&lt;0,0,Table3[[#This Row],[Before restock E]])</f>
        <v>0</v>
      </c>
      <c r="U63" s="132">
        <v>0</v>
      </c>
      <c r="V63" s="132">
        <f>Table3[[#This Row],[After restock E]]-Table3[[#This Row],[Need of F]]</f>
        <v>0</v>
      </c>
      <c r="W63" s="132">
        <f>IF(Table3[[#This Row],[Before restock F]]&lt;0,0,Table3[[#This Row],[Before restock F]])</f>
        <v>0</v>
      </c>
      <c r="X63" s="132">
        <v>105</v>
      </c>
      <c r="Y63" s="132">
        <f>Table3[[#This Row],[After restock F]]-Table3[[#This Row],[Need of G]]</f>
        <v>-105</v>
      </c>
      <c r="Z63" s="132">
        <f>IF(Table3[[#This Row],[Before restock G]]&lt;0,0,Table3[[#This Row],[Before restock G]])</f>
        <v>0</v>
      </c>
      <c r="AA63" s="141">
        <f>SUMIF(Table3[[#This Row],[Before restocks A]:[After restock G]],"&lt;0")</f>
        <v>-1203</v>
      </c>
      <c r="AB63" s="133"/>
    </row>
    <row r="64" spans="1:28" s="39" customFormat="1" ht="42.75" hidden="1" customHeight="1" x14ac:dyDescent="0.3">
      <c r="A64" s="130" t="s">
        <v>507</v>
      </c>
      <c r="B64" s="139" t="s">
        <v>287</v>
      </c>
      <c r="C64" s="131" t="s">
        <v>229</v>
      </c>
      <c r="D64" s="131"/>
      <c r="E64" s="131">
        <v>0</v>
      </c>
      <c r="F64" s="131">
        <v>0</v>
      </c>
      <c r="G64" s="131">
        <f>Table3[[#This Row],[Begin stocks]]-Table3[[#This Row],[Need of A]]</f>
        <v>0</v>
      </c>
      <c r="H64" s="131">
        <f>IF(Table3[[#This Row],[Before restocks A]]&lt;0, 0, Table3[[#This Row],[Before restocks A]])</f>
        <v>0</v>
      </c>
      <c r="I64" s="132">
        <v>1050</v>
      </c>
      <c r="J64" s="132">
        <f>Table3[[#This Row],[After restocks A]]-Table3[[#This Row],[Need of B]]</f>
        <v>-1050</v>
      </c>
      <c r="K64" s="132">
        <f>IF(Table3[[#This Row],[Before restock B]]&lt;0,0,Table3[[#This Row],[Before restock B]])</f>
        <v>0</v>
      </c>
      <c r="L64" s="132">
        <v>36.000000000000007</v>
      </c>
      <c r="M64" s="132">
        <f>Table3[[#This Row],[After restock B]]-Table3[[#This Row],[Need of C]]</f>
        <v>-36.000000000000007</v>
      </c>
      <c r="N64" s="132">
        <f>IF(Table3[[#This Row],[Before restock C]]&lt;0,0,Table3[[#This Row],[Before restock C]])</f>
        <v>0</v>
      </c>
      <c r="O64" s="132">
        <v>133.80000000000001</v>
      </c>
      <c r="P64" s="132">
        <f>Table3[[#This Row],[After restock C]]-Table3[[#This Row],[Need of D]]</f>
        <v>-133.80000000000001</v>
      </c>
      <c r="Q64" s="132">
        <f>IF(Table3[[#This Row],[Before restock D]]&lt;0,0,Table3[[#This Row],[Before restock D]])</f>
        <v>0</v>
      </c>
      <c r="R64" s="132">
        <v>0</v>
      </c>
      <c r="S64" s="132">
        <f>Table3[[#This Row],[After restock D]]-Table3[[#This Row],[Need of E]]</f>
        <v>0</v>
      </c>
      <c r="T64" s="132">
        <f>IF(Table3[[#This Row],[Before restock E]]&lt;0,0,Table3[[#This Row],[Before restock E]])</f>
        <v>0</v>
      </c>
      <c r="U64" s="132">
        <v>0</v>
      </c>
      <c r="V64" s="132">
        <f>Table3[[#This Row],[After restock E]]-Table3[[#This Row],[Need of F]]</f>
        <v>0</v>
      </c>
      <c r="W64" s="132">
        <f>IF(Table3[[#This Row],[Before restock F]]&lt;0,0,Table3[[#This Row],[Before restock F]])</f>
        <v>0</v>
      </c>
      <c r="X64" s="132">
        <v>105</v>
      </c>
      <c r="Y64" s="132">
        <f>Table3[[#This Row],[After restock F]]-Table3[[#This Row],[Need of G]]</f>
        <v>-105</v>
      </c>
      <c r="Z64" s="132">
        <f>IF(Table3[[#This Row],[Before restock G]]&lt;0,0,Table3[[#This Row],[Before restock G]])</f>
        <v>0</v>
      </c>
      <c r="AA64" s="141">
        <f>SUMIF(Table3[[#This Row],[Before restocks A]:[After restock G]],"&lt;0")</f>
        <v>-1324.8</v>
      </c>
      <c r="AB64" s="133"/>
    </row>
    <row r="65" spans="1:28" s="39" customFormat="1" ht="42.75" hidden="1" customHeight="1" x14ac:dyDescent="0.3">
      <c r="A65" s="130" t="s">
        <v>475</v>
      </c>
      <c r="B65" s="90" t="s">
        <v>322</v>
      </c>
      <c r="C65" s="131" t="s">
        <v>229</v>
      </c>
      <c r="D65" s="131"/>
      <c r="E65" s="131">
        <v>0.39</v>
      </c>
      <c r="F65" s="131">
        <v>0</v>
      </c>
      <c r="G65" s="131">
        <f>Table3[[#This Row],[Begin stocks]]-Table3[[#This Row],[Need of A]]</f>
        <v>0.39</v>
      </c>
      <c r="H65" s="131">
        <f>IF(Table3[[#This Row],[Before restocks A]]&lt;0, 0, Table3[[#This Row],[Before restocks A]])</f>
        <v>0.39</v>
      </c>
      <c r="I65" s="132">
        <v>455</v>
      </c>
      <c r="J65" s="132">
        <f>Table3[[#This Row],[After restocks A]]-Table3[[#This Row],[Need of B]]</f>
        <v>-454.61</v>
      </c>
      <c r="K65" s="132">
        <f>IF(Table3[[#This Row],[Before restock B]]&lt;0,0,Table3[[#This Row],[Before restock B]])</f>
        <v>0</v>
      </c>
      <c r="L65" s="132">
        <v>23.400000000000002</v>
      </c>
      <c r="M65" s="132">
        <f>Table3[[#This Row],[After restock B]]-Table3[[#This Row],[Need of C]]</f>
        <v>-23.400000000000002</v>
      </c>
      <c r="N65" s="132">
        <f>IF(Table3[[#This Row],[Before restock C]]&lt;0,0,Table3[[#This Row],[Before restock C]])</f>
        <v>0</v>
      </c>
      <c r="O65" s="132">
        <v>155.74</v>
      </c>
      <c r="P65" s="132">
        <f>Table3[[#This Row],[After restock C]]-Table3[[#This Row],[Need of D]]</f>
        <v>-155.74</v>
      </c>
      <c r="Q65" s="132">
        <f>IF(Table3[[#This Row],[Before restock D]]&lt;0,0,Table3[[#This Row],[Before restock D]])</f>
        <v>0</v>
      </c>
      <c r="R65" s="132">
        <v>0</v>
      </c>
      <c r="S65" s="132">
        <f>Table3[[#This Row],[After restock D]]-Table3[[#This Row],[Need of E]]</f>
        <v>0</v>
      </c>
      <c r="T65" s="132">
        <f>IF(Table3[[#This Row],[Before restock E]]&lt;0,0,Table3[[#This Row],[Before restock E]])</f>
        <v>0</v>
      </c>
      <c r="U65" s="132">
        <v>0</v>
      </c>
      <c r="V65" s="132">
        <f>Table3[[#This Row],[After restock E]]-Table3[[#This Row],[Need of F]]</f>
        <v>0</v>
      </c>
      <c r="W65" s="132">
        <f>IF(Table3[[#This Row],[Before restock F]]&lt;0,0,Table3[[#This Row],[Before restock F]])</f>
        <v>0</v>
      </c>
      <c r="X65" s="132">
        <v>45.5</v>
      </c>
      <c r="Y65" s="132">
        <f>Table3[[#This Row],[After restock F]]-Table3[[#This Row],[Need of G]]</f>
        <v>-45.5</v>
      </c>
      <c r="Z65" s="132">
        <f>IF(Table3[[#This Row],[Before restock G]]&lt;0,0,Table3[[#This Row],[Before restock G]])</f>
        <v>0</v>
      </c>
      <c r="AA65" s="141">
        <f>SUMIF(Table3[[#This Row],[Before restocks A]:[After restock G]],"&lt;0")</f>
        <v>-679.25</v>
      </c>
      <c r="AB65" s="133"/>
    </row>
    <row r="66" spans="1:28" s="39" customFormat="1" ht="42.75" hidden="1" customHeight="1" x14ac:dyDescent="0.3">
      <c r="A66" s="130" t="s">
        <v>474</v>
      </c>
      <c r="B66" s="90" t="s">
        <v>323</v>
      </c>
      <c r="C66" s="131" t="s">
        <v>229</v>
      </c>
      <c r="D66" s="134"/>
      <c r="E66" s="134">
        <v>0.20799999999999999</v>
      </c>
      <c r="F66" s="134">
        <v>21.840000000000003</v>
      </c>
      <c r="G66" s="134">
        <f>Table3[[#This Row],[Begin stocks]]-Table3[[#This Row],[Need of A]]</f>
        <v>-21.632000000000005</v>
      </c>
      <c r="H66" s="134">
        <f>IF(Table3[[#This Row],[Before restocks A]]&lt;0, 0, Table3[[#This Row],[Before restocks A]])</f>
        <v>0</v>
      </c>
      <c r="I66" s="132">
        <v>0</v>
      </c>
      <c r="J66" s="132">
        <f>Table3[[#This Row],[After restocks A]]-Table3[[#This Row],[Need of B]]</f>
        <v>0</v>
      </c>
      <c r="K66" s="132">
        <f>IF(Table3[[#This Row],[Before restock B]]&lt;0,0,Table3[[#This Row],[Before restock B]])</f>
        <v>0</v>
      </c>
      <c r="L66" s="132">
        <v>0</v>
      </c>
      <c r="M66" s="132">
        <f>Table3[[#This Row],[After restock B]]-Table3[[#This Row],[Need of C]]</f>
        <v>0</v>
      </c>
      <c r="N66" s="132">
        <f>IF(Table3[[#This Row],[Before restock C]]&lt;0,0,Table3[[#This Row],[Before restock C]])</f>
        <v>0</v>
      </c>
      <c r="O66" s="132">
        <v>102.64800000000001</v>
      </c>
      <c r="P66" s="132">
        <f>Table3[[#This Row],[After restock C]]-Table3[[#This Row],[Need of D]]</f>
        <v>-102.64800000000001</v>
      </c>
      <c r="Q66" s="132">
        <f>IF(Table3[[#This Row],[Before restock D]]&lt;0,0,Table3[[#This Row],[Before restock D]])</f>
        <v>0</v>
      </c>
      <c r="R66" s="132">
        <v>0</v>
      </c>
      <c r="S66" s="132">
        <f>Table3[[#This Row],[After restock D]]-Table3[[#This Row],[Need of E]]</f>
        <v>0</v>
      </c>
      <c r="T66" s="132">
        <f>IF(Table3[[#This Row],[Before restock E]]&lt;0,0,Table3[[#This Row],[Before restock E]])</f>
        <v>0</v>
      </c>
      <c r="U66" s="132">
        <v>0</v>
      </c>
      <c r="V66" s="132">
        <f>Table3[[#This Row],[After restock E]]-Table3[[#This Row],[Need of F]]</f>
        <v>0</v>
      </c>
      <c r="W66" s="132">
        <f>IF(Table3[[#This Row],[Before restock F]]&lt;0,0,Table3[[#This Row],[Before restock F]])</f>
        <v>0</v>
      </c>
      <c r="X66" s="132">
        <v>509.60000000000008</v>
      </c>
      <c r="Y66" s="132">
        <f>Table3[[#This Row],[After restock F]]-Table3[[#This Row],[Need of G]]</f>
        <v>-509.60000000000008</v>
      </c>
      <c r="Z66" s="132">
        <f>IF(Table3[[#This Row],[Before restock G]]&lt;0,0,Table3[[#This Row],[Before restock G]])</f>
        <v>0</v>
      </c>
      <c r="AA66" s="141">
        <f>SUMIF(Table3[[#This Row],[Before restocks A]:[After restock G]],"&lt;0")</f>
        <v>-633.88000000000011</v>
      </c>
      <c r="AB66" s="133"/>
    </row>
    <row r="67" spans="1:28" s="39" customFormat="1" ht="42.75" hidden="1" customHeight="1" x14ac:dyDescent="0.3">
      <c r="A67" s="130" t="s">
        <v>476</v>
      </c>
      <c r="B67" s="90" t="s">
        <v>321</v>
      </c>
      <c r="C67" s="131" t="s">
        <v>229</v>
      </c>
      <c r="D67" s="134"/>
      <c r="E67" s="134">
        <v>1.591</v>
      </c>
      <c r="F67" s="134">
        <v>0</v>
      </c>
      <c r="G67" s="134">
        <f>Table3[[#This Row],[Begin stocks]]-Table3[[#This Row],[Need of A]]</f>
        <v>1.591</v>
      </c>
      <c r="H67" s="134">
        <f>IF(Table3[[#This Row],[Before restocks A]]&lt;0, 0, Table3[[#This Row],[Before restocks A]])</f>
        <v>1.591</v>
      </c>
      <c r="I67" s="132">
        <v>0</v>
      </c>
      <c r="J67" s="132">
        <f>Table3[[#This Row],[After restocks A]]-Table3[[#This Row],[Need of B]]</f>
        <v>1.591</v>
      </c>
      <c r="K67" s="132">
        <f>IF(Table3[[#This Row],[Before restock B]]&lt;0,0,Table3[[#This Row],[Before restock B]])</f>
        <v>1.591</v>
      </c>
      <c r="L67" s="132">
        <v>0</v>
      </c>
      <c r="M67" s="132">
        <f>Table3[[#This Row],[After restock B]]-Table3[[#This Row],[Need of C]]</f>
        <v>1.591</v>
      </c>
      <c r="N67" s="132">
        <f>IF(Table3[[#This Row],[Before restock C]]&lt;0,0,Table3[[#This Row],[Before restock C]])</f>
        <v>1.591</v>
      </c>
      <c r="O67" s="132">
        <v>0</v>
      </c>
      <c r="P67" s="132">
        <f>Table3[[#This Row],[After restock C]]-Table3[[#This Row],[Need of D]]</f>
        <v>1.591</v>
      </c>
      <c r="Q67" s="132">
        <f>IF(Table3[[#This Row],[Before restock D]]&lt;0,0,Table3[[#This Row],[Before restock D]])</f>
        <v>1.591</v>
      </c>
      <c r="R67" s="132">
        <v>222.74</v>
      </c>
      <c r="S67" s="132">
        <f>Table3[[#This Row],[After restock D]]-Table3[[#This Row],[Need of E]]</f>
        <v>-221.149</v>
      </c>
      <c r="T67" s="132">
        <f>IF(Table3[[#This Row],[Before restock E]]&lt;0,0,Table3[[#This Row],[Before restock E]])</f>
        <v>0</v>
      </c>
      <c r="U67" s="132">
        <v>0</v>
      </c>
      <c r="V67" s="132">
        <f>Table3[[#This Row],[After restock E]]-Table3[[#This Row],[Need of F]]</f>
        <v>0</v>
      </c>
      <c r="W67" s="132">
        <f>IF(Table3[[#This Row],[Before restock F]]&lt;0,0,Table3[[#This Row],[Before restock F]])</f>
        <v>0</v>
      </c>
      <c r="X67" s="132">
        <v>668.22</v>
      </c>
      <c r="Y67" s="132">
        <f>Table3[[#This Row],[After restock F]]-Table3[[#This Row],[Need of G]]</f>
        <v>-668.22</v>
      </c>
      <c r="Z67" s="132">
        <f>IF(Table3[[#This Row],[Before restock G]]&lt;0,0,Table3[[#This Row],[Before restock G]])</f>
        <v>0</v>
      </c>
      <c r="AA67" s="141">
        <f>SUMIF(Table3[[#This Row],[Before restocks A]:[After restock G]],"&lt;0")</f>
        <v>-889.36900000000003</v>
      </c>
      <c r="AB67" s="133"/>
    </row>
    <row r="68" spans="1:28" s="39" customFormat="1" ht="42.75" hidden="1" customHeight="1" x14ac:dyDescent="0.3">
      <c r="A68" s="130" t="s">
        <v>477</v>
      </c>
      <c r="B68" s="90" t="s">
        <v>320</v>
      </c>
      <c r="C68" s="131" t="s">
        <v>229</v>
      </c>
      <c r="D68" s="134"/>
      <c r="E68" s="134">
        <v>1.7769999999999999</v>
      </c>
      <c r="F68" s="134">
        <v>0</v>
      </c>
      <c r="G68" s="134">
        <f>Table3[[#This Row],[Begin stocks]]-Table3[[#This Row],[Need of A]]</f>
        <v>1.7769999999999999</v>
      </c>
      <c r="H68" s="134">
        <f>IF(Table3[[#This Row],[Before restocks A]]&lt;0, 0, Table3[[#This Row],[Before restocks A]])</f>
        <v>1.7769999999999999</v>
      </c>
      <c r="I68" s="132">
        <v>0</v>
      </c>
      <c r="J68" s="132">
        <f>Table3[[#This Row],[After restocks A]]-Table3[[#This Row],[Need of B]]</f>
        <v>1.7769999999999999</v>
      </c>
      <c r="K68" s="132">
        <f>IF(Table3[[#This Row],[Before restock B]]&lt;0,0,Table3[[#This Row],[Before restock B]])</f>
        <v>1.7769999999999999</v>
      </c>
      <c r="L68" s="132">
        <v>0</v>
      </c>
      <c r="M68" s="132">
        <f>Table3[[#This Row],[After restock B]]-Table3[[#This Row],[Need of C]]</f>
        <v>1.7769999999999999</v>
      </c>
      <c r="N68" s="132">
        <f>IF(Table3[[#This Row],[Before restock C]]&lt;0,0,Table3[[#This Row],[Before restock C]])</f>
        <v>1.7769999999999999</v>
      </c>
      <c r="O68" s="132">
        <v>0</v>
      </c>
      <c r="P68" s="132">
        <f>Table3[[#This Row],[After restock C]]-Table3[[#This Row],[Need of D]]</f>
        <v>1.7769999999999999</v>
      </c>
      <c r="Q68" s="132">
        <f>IF(Table3[[#This Row],[Before restock D]]&lt;0,0,Table3[[#This Row],[Before restock D]])</f>
        <v>1.7769999999999999</v>
      </c>
      <c r="R68" s="132">
        <v>248.78</v>
      </c>
      <c r="S68" s="132">
        <f>Table3[[#This Row],[After restock D]]-Table3[[#This Row],[Need of E]]</f>
        <v>-247.00300000000001</v>
      </c>
      <c r="T68" s="132">
        <f>IF(Table3[[#This Row],[Before restock E]]&lt;0,0,Table3[[#This Row],[Before restock E]])</f>
        <v>0</v>
      </c>
      <c r="U68" s="132">
        <v>0</v>
      </c>
      <c r="V68" s="132">
        <f>Table3[[#This Row],[After restock E]]-Table3[[#This Row],[Need of F]]</f>
        <v>0</v>
      </c>
      <c r="W68" s="132">
        <f>IF(Table3[[#This Row],[Before restock F]]&lt;0,0,Table3[[#This Row],[Before restock F]])</f>
        <v>0</v>
      </c>
      <c r="X68" s="132">
        <v>746.33999999999992</v>
      </c>
      <c r="Y68" s="132">
        <f>Table3[[#This Row],[After restock F]]-Table3[[#This Row],[Need of G]]</f>
        <v>-746.33999999999992</v>
      </c>
      <c r="Z68" s="132">
        <f>IF(Table3[[#This Row],[Before restock G]]&lt;0,0,Table3[[#This Row],[Before restock G]])</f>
        <v>0</v>
      </c>
      <c r="AA68" s="141">
        <f>SUMIF(Table3[[#This Row],[Before restocks A]:[After restock G]],"&lt;0")</f>
        <v>-993.34299999999996</v>
      </c>
      <c r="AB68" s="133"/>
    </row>
    <row r="69" spans="1:28" s="39" customFormat="1" ht="42.75" hidden="1" customHeight="1" x14ac:dyDescent="0.3">
      <c r="A69" s="130" t="s">
        <v>478</v>
      </c>
      <c r="B69" s="90" t="s">
        <v>319</v>
      </c>
      <c r="C69" s="131" t="s">
        <v>229</v>
      </c>
      <c r="D69" s="131"/>
      <c r="E69" s="131">
        <v>0</v>
      </c>
      <c r="F69" s="131">
        <v>18.942</v>
      </c>
      <c r="G69" s="131">
        <f>Table3[[#This Row],[Begin stocks]]-Table3[[#This Row],[Need of A]]</f>
        <v>-18.942</v>
      </c>
      <c r="H69" s="131">
        <f>IF(Table3[[#This Row],[Before restocks A]]&lt;0, 0, Table3[[#This Row],[Before restocks A]])</f>
        <v>0</v>
      </c>
      <c r="I69" s="132">
        <v>0</v>
      </c>
      <c r="J69" s="132">
        <f>Table3[[#This Row],[After restocks A]]-Table3[[#This Row],[Need of B]]</f>
        <v>0</v>
      </c>
      <c r="K69" s="132">
        <f>IF(Table3[[#This Row],[Before restock B]]&lt;0,0,Table3[[#This Row],[Before restock B]])</f>
        <v>0</v>
      </c>
      <c r="L69" s="132">
        <v>0</v>
      </c>
      <c r="M69" s="132">
        <f>Table3[[#This Row],[After restock B]]-Table3[[#This Row],[Need of C]]</f>
        <v>0</v>
      </c>
      <c r="N69" s="132">
        <f>IF(Table3[[#This Row],[Before restock C]]&lt;0,0,Table3[[#This Row],[Before restock C]])</f>
        <v>0</v>
      </c>
      <c r="O69" s="132">
        <v>89.0274</v>
      </c>
      <c r="P69" s="132">
        <f>Table3[[#This Row],[After restock C]]-Table3[[#This Row],[Need of D]]</f>
        <v>-89.0274</v>
      </c>
      <c r="Q69" s="132">
        <f>IF(Table3[[#This Row],[Before restock D]]&lt;0,0,Table3[[#This Row],[Before restock D]])</f>
        <v>0</v>
      </c>
      <c r="R69" s="132">
        <v>0</v>
      </c>
      <c r="S69" s="132">
        <f>Table3[[#This Row],[After restock D]]-Table3[[#This Row],[Need of E]]</f>
        <v>0</v>
      </c>
      <c r="T69" s="132">
        <f>IF(Table3[[#This Row],[Before restock E]]&lt;0,0,Table3[[#This Row],[Before restock E]])</f>
        <v>0</v>
      </c>
      <c r="U69" s="132">
        <v>0</v>
      </c>
      <c r="V69" s="132">
        <f>Table3[[#This Row],[After restock E]]-Table3[[#This Row],[Need of F]]</f>
        <v>0</v>
      </c>
      <c r="W69" s="132">
        <f>IF(Table3[[#This Row],[Before restock F]]&lt;0,0,Table3[[#This Row],[Before restock F]])</f>
        <v>0</v>
      </c>
      <c r="X69" s="132">
        <v>441.97999999999996</v>
      </c>
      <c r="Y69" s="132">
        <f>Table3[[#This Row],[After restock F]]-Table3[[#This Row],[Need of G]]</f>
        <v>-441.97999999999996</v>
      </c>
      <c r="Z69" s="132">
        <f>IF(Table3[[#This Row],[Before restock G]]&lt;0,0,Table3[[#This Row],[Before restock G]])</f>
        <v>0</v>
      </c>
      <c r="AA69" s="141">
        <f>SUMIF(Table3[[#This Row],[Before restocks A]:[After restock G]],"&lt;0")</f>
        <v>-549.94939999999997</v>
      </c>
      <c r="AB69" s="133"/>
    </row>
    <row r="70" spans="1:28" s="39" customFormat="1" ht="42.75" hidden="1" customHeight="1" x14ac:dyDescent="0.3">
      <c r="A70" s="130" t="s">
        <v>462</v>
      </c>
      <c r="B70" s="90" t="s">
        <v>335</v>
      </c>
      <c r="C70" s="131" t="s">
        <v>229</v>
      </c>
      <c r="D70" s="134"/>
      <c r="E70" s="134">
        <v>0</v>
      </c>
      <c r="F70" s="134">
        <v>15</v>
      </c>
      <c r="G70" s="134">
        <f>Table3[[#This Row],[Begin stocks]]-Table3[[#This Row],[Need of A]]</f>
        <v>-15</v>
      </c>
      <c r="H70" s="134">
        <f>IF(Table3[[#This Row],[Before restocks A]]&lt;0, 0, Table3[[#This Row],[Before restocks A]])</f>
        <v>0</v>
      </c>
      <c r="I70" s="132">
        <v>140</v>
      </c>
      <c r="J70" s="132">
        <f>Table3[[#This Row],[After restocks A]]-Table3[[#This Row],[Need of B]]</f>
        <v>-140</v>
      </c>
      <c r="K70" s="132">
        <f>IF(Table3[[#This Row],[Before restock B]]&lt;0,0,Table3[[#This Row],[Before restock B]])</f>
        <v>0</v>
      </c>
      <c r="L70" s="132">
        <v>0</v>
      </c>
      <c r="M70" s="132">
        <f>Table3[[#This Row],[After restock B]]-Table3[[#This Row],[Need of C]]</f>
        <v>0</v>
      </c>
      <c r="N70" s="132">
        <f>IF(Table3[[#This Row],[Before restock C]]&lt;0,0,Table3[[#This Row],[Before restock C]])</f>
        <v>0</v>
      </c>
      <c r="O70" s="132">
        <v>566.79999999999995</v>
      </c>
      <c r="P70" s="132">
        <f>Table3[[#This Row],[After restock C]]-Table3[[#This Row],[Need of D]]</f>
        <v>-566.79999999999995</v>
      </c>
      <c r="Q70" s="132">
        <f>IF(Table3[[#This Row],[Before restock D]]&lt;0,0,Table3[[#This Row],[Before restock D]])</f>
        <v>0</v>
      </c>
      <c r="R70" s="132">
        <v>0</v>
      </c>
      <c r="S70" s="132">
        <f>Table3[[#This Row],[After restock D]]-Table3[[#This Row],[Need of E]]</f>
        <v>0</v>
      </c>
      <c r="T70" s="132">
        <f>IF(Table3[[#This Row],[Before restock E]]&lt;0,0,Table3[[#This Row],[Before restock E]])</f>
        <v>0</v>
      </c>
      <c r="U70" s="132">
        <v>150</v>
      </c>
      <c r="V70" s="132">
        <f>Table3[[#This Row],[After restock E]]-Table3[[#This Row],[Need of F]]</f>
        <v>-150</v>
      </c>
      <c r="W70" s="132">
        <f>IF(Table3[[#This Row],[Before restock F]]&lt;0,0,Table3[[#This Row],[Before restock F]])</f>
        <v>0</v>
      </c>
      <c r="X70" s="132">
        <v>14</v>
      </c>
      <c r="Y70" s="132">
        <f>Table3[[#This Row],[After restock F]]-Table3[[#This Row],[Need of G]]</f>
        <v>-14</v>
      </c>
      <c r="Z70" s="132">
        <f>IF(Table3[[#This Row],[Before restock G]]&lt;0,0,Table3[[#This Row],[Before restock G]])</f>
        <v>0</v>
      </c>
      <c r="AA70" s="141">
        <f>SUMIF(Table3[[#This Row],[Before restocks A]:[After restock G]],"&lt;0")</f>
        <v>-885.8</v>
      </c>
      <c r="AB70" s="133"/>
    </row>
    <row r="71" spans="1:28" s="39" customFormat="1" ht="42.75" hidden="1" customHeight="1" x14ac:dyDescent="0.3">
      <c r="A71" s="130" t="s">
        <v>463</v>
      </c>
      <c r="B71" s="90" t="s">
        <v>334</v>
      </c>
      <c r="C71" s="131" t="s">
        <v>229</v>
      </c>
      <c r="D71" s="131"/>
      <c r="E71" s="131">
        <v>0</v>
      </c>
      <c r="F71" s="131">
        <v>7.95</v>
      </c>
      <c r="G71" s="131">
        <f>Table3[[#This Row],[Begin stocks]]-Table3[[#This Row],[Need of A]]</f>
        <v>-7.95</v>
      </c>
      <c r="H71" s="131">
        <f>IF(Table3[[#This Row],[Before restocks A]]&lt;0, 0, Table3[[#This Row],[Before restocks A]])</f>
        <v>0</v>
      </c>
      <c r="I71" s="132">
        <v>0</v>
      </c>
      <c r="J71" s="132">
        <f>Table3[[#This Row],[After restocks A]]-Table3[[#This Row],[Need of B]]</f>
        <v>0</v>
      </c>
      <c r="K71" s="132">
        <f>IF(Table3[[#This Row],[Before restock B]]&lt;0,0,Table3[[#This Row],[Before restock B]])</f>
        <v>0</v>
      </c>
      <c r="L71" s="132">
        <v>0</v>
      </c>
      <c r="M71" s="132">
        <f>Table3[[#This Row],[After restock B]]-Table3[[#This Row],[Need of C]]</f>
        <v>0</v>
      </c>
      <c r="N71" s="132">
        <f>IF(Table3[[#This Row],[Before restock C]]&lt;0,0,Table3[[#This Row],[Before restock C]])</f>
        <v>0</v>
      </c>
      <c r="O71" s="132">
        <v>0</v>
      </c>
      <c r="P71" s="132">
        <f>Table3[[#This Row],[After restock C]]-Table3[[#This Row],[Need of D]]</f>
        <v>0</v>
      </c>
      <c r="Q71" s="132">
        <f>IF(Table3[[#This Row],[Before restock D]]&lt;0,0,Table3[[#This Row],[Before restock D]])</f>
        <v>0</v>
      </c>
      <c r="R71" s="132">
        <v>4.62</v>
      </c>
      <c r="S71" s="132">
        <f>Table3[[#This Row],[After restock D]]-Table3[[#This Row],[Need of E]]</f>
        <v>-4.62</v>
      </c>
      <c r="T71" s="132">
        <f>IF(Table3[[#This Row],[Before restock E]]&lt;0,0,Table3[[#This Row],[Before restock E]])</f>
        <v>0</v>
      </c>
      <c r="U71" s="132">
        <v>0</v>
      </c>
      <c r="V71" s="132">
        <f>Table3[[#This Row],[After restock E]]-Table3[[#This Row],[Need of F]]</f>
        <v>0</v>
      </c>
      <c r="W71" s="132">
        <f>IF(Table3[[#This Row],[Before restock F]]&lt;0,0,Table3[[#This Row],[Before restock F]])</f>
        <v>0</v>
      </c>
      <c r="X71" s="132">
        <v>13.860000000000001</v>
      </c>
      <c r="Y71" s="132">
        <f>Table3[[#This Row],[After restock F]]-Table3[[#This Row],[Need of G]]</f>
        <v>-13.860000000000001</v>
      </c>
      <c r="Z71" s="132">
        <f>IF(Table3[[#This Row],[Before restock G]]&lt;0,0,Table3[[#This Row],[Before restock G]])</f>
        <v>0</v>
      </c>
      <c r="AA71" s="141">
        <f>SUMIF(Table3[[#This Row],[Before restocks A]:[After restock G]],"&lt;0")</f>
        <v>-26.43</v>
      </c>
      <c r="AB71" s="133"/>
    </row>
    <row r="72" spans="1:28" s="39" customFormat="1" ht="42.75" hidden="1" customHeight="1" x14ac:dyDescent="0.3">
      <c r="A72" s="130" t="s">
        <v>464</v>
      </c>
      <c r="B72" s="90" t="s">
        <v>333</v>
      </c>
      <c r="C72" s="131" t="s">
        <v>229</v>
      </c>
      <c r="D72" s="134"/>
      <c r="E72" s="134">
        <v>0</v>
      </c>
      <c r="F72" s="134">
        <v>11.25</v>
      </c>
      <c r="G72" s="134">
        <f>Table3[[#This Row],[Begin stocks]]-Table3[[#This Row],[Need of A]]</f>
        <v>-11.25</v>
      </c>
      <c r="H72" s="134">
        <f>IF(Table3[[#This Row],[Before restocks A]]&lt;0, 0, Table3[[#This Row],[Before restocks A]])</f>
        <v>0</v>
      </c>
      <c r="I72" s="132">
        <v>0</v>
      </c>
      <c r="J72" s="132">
        <f>Table3[[#This Row],[After restocks A]]-Table3[[#This Row],[Need of B]]</f>
        <v>0</v>
      </c>
      <c r="K72" s="132">
        <f>IF(Table3[[#This Row],[Before restock B]]&lt;0,0,Table3[[#This Row],[Before restock B]])</f>
        <v>0</v>
      </c>
      <c r="L72" s="132">
        <v>82.26</v>
      </c>
      <c r="M72" s="132">
        <f>Table3[[#This Row],[After restock B]]-Table3[[#This Row],[Need of C]]</f>
        <v>-82.26</v>
      </c>
      <c r="N72" s="132">
        <f>IF(Table3[[#This Row],[Before restock C]]&lt;0,0,Table3[[#This Row],[Before restock C]])</f>
        <v>0</v>
      </c>
      <c r="O72" s="132">
        <v>0</v>
      </c>
      <c r="P72" s="132">
        <f>Table3[[#This Row],[After restock C]]-Table3[[#This Row],[Need of D]]</f>
        <v>0</v>
      </c>
      <c r="Q72" s="132">
        <f>IF(Table3[[#This Row],[Before restock D]]&lt;0,0,Table3[[#This Row],[Before restock D]])</f>
        <v>0</v>
      </c>
      <c r="R72" s="132">
        <v>0.14000000000000001</v>
      </c>
      <c r="S72" s="132">
        <f>Table3[[#This Row],[After restock D]]-Table3[[#This Row],[Need of E]]</f>
        <v>-0.14000000000000001</v>
      </c>
      <c r="T72" s="132">
        <f>IF(Table3[[#This Row],[Before restock E]]&lt;0,0,Table3[[#This Row],[Before restock E]])</f>
        <v>0</v>
      </c>
      <c r="U72" s="132">
        <v>0</v>
      </c>
      <c r="V72" s="132">
        <f>Table3[[#This Row],[After restock E]]-Table3[[#This Row],[Need of F]]</f>
        <v>0</v>
      </c>
      <c r="W72" s="132">
        <f>IF(Table3[[#This Row],[Before restock F]]&lt;0,0,Table3[[#This Row],[Before restock F]])</f>
        <v>0</v>
      </c>
      <c r="X72" s="132">
        <v>0.42</v>
      </c>
      <c r="Y72" s="132">
        <f>Table3[[#This Row],[After restock F]]-Table3[[#This Row],[Need of G]]</f>
        <v>-0.42</v>
      </c>
      <c r="Z72" s="132">
        <f>IF(Table3[[#This Row],[Before restock G]]&lt;0,0,Table3[[#This Row],[Before restock G]])</f>
        <v>0</v>
      </c>
      <c r="AA72" s="141">
        <f>SUMIF(Table3[[#This Row],[Before restocks A]:[After restock G]],"&lt;0")</f>
        <v>-94.070000000000007</v>
      </c>
      <c r="AB72" s="133"/>
    </row>
    <row r="73" spans="1:28" s="39" customFormat="1" ht="42.75" hidden="1" customHeight="1" x14ac:dyDescent="0.3">
      <c r="A73" s="130" t="s">
        <v>465</v>
      </c>
      <c r="B73" s="90" t="s">
        <v>332</v>
      </c>
      <c r="C73" s="131" t="s">
        <v>229</v>
      </c>
      <c r="D73" s="131"/>
      <c r="E73" s="131">
        <v>0</v>
      </c>
      <c r="F73" s="131">
        <v>236.85</v>
      </c>
      <c r="G73" s="131">
        <f>Table3[[#This Row],[Begin stocks]]-Table3[[#This Row],[Need of A]]</f>
        <v>-236.85</v>
      </c>
      <c r="H73" s="131">
        <f>IF(Table3[[#This Row],[Before restocks A]]&lt;0, 0, Table3[[#This Row],[Before restocks A]])</f>
        <v>0</v>
      </c>
      <c r="I73" s="132">
        <v>0</v>
      </c>
      <c r="J73" s="132">
        <f>Table3[[#This Row],[After restocks A]]-Table3[[#This Row],[Need of B]]</f>
        <v>0</v>
      </c>
      <c r="K73" s="132">
        <f>IF(Table3[[#This Row],[Before restock B]]&lt;0,0,Table3[[#This Row],[Before restock B]])</f>
        <v>0</v>
      </c>
      <c r="L73" s="132">
        <v>102.6</v>
      </c>
      <c r="M73" s="132">
        <f>Table3[[#This Row],[After restock B]]-Table3[[#This Row],[Need of C]]</f>
        <v>-102.6</v>
      </c>
      <c r="N73" s="132">
        <f>IF(Table3[[#This Row],[Before restock C]]&lt;0,0,Table3[[#This Row],[Before restock C]])</f>
        <v>0</v>
      </c>
      <c r="O73" s="132">
        <v>499.70400000000001</v>
      </c>
      <c r="P73" s="132">
        <f>Table3[[#This Row],[After restock C]]-Table3[[#This Row],[Need of D]]</f>
        <v>-499.70400000000001</v>
      </c>
      <c r="Q73" s="132">
        <f>IF(Table3[[#This Row],[Before restock D]]&lt;0,0,Table3[[#This Row],[Before restock D]])</f>
        <v>0</v>
      </c>
      <c r="R73" s="132">
        <v>199.78</v>
      </c>
      <c r="S73" s="132">
        <f>Table3[[#This Row],[After restock D]]-Table3[[#This Row],[Need of E]]</f>
        <v>-199.78</v>
      </c>
      <c r="T73" s="132">
        <f>IF(Table3[[#This Row],[Before restock E]]&lt;0,0,Table3[[#This Row],[Before restock E]])</f>
        <v>0</v>
      </c>
      <c r="U73" s="132">
        <v>0</v>
      </c>
      <c r="V73" s="132">
        <f>Table3[[#This Row],[After restock E]]-Table3[[#This Row],[Need of F]]</f>
        <v>0</v>
      </c>
      <c r="W73" s="132">
        <f>IF(Table3[[#This Row],[Before restock F]]&lt;0,0,Table3[[#This Row],[Before restock F]])</f>
        <v>0</v>
      </c>
      <c r="X73" s="132">
        <v>599.34</v>
      </c>
      <c r="Y73" s="132">
        <f>Table3[[#This Row],[After restock F]]-Table3[[#This Row],[Need of G]]</f>
        <v>-599.34</v>
      </c>
      <c r="Z73" s="132">
        <f>IF(Table3[[#This Row],[Before restock G]]&lt;0,0,Table3[[#This Row],[Before restock G]])</f>
        <v>0</v>
      </c>
      <c r="AA73" s="141">
        <f>SUMIF(Table3[[#This Row],[Before restocks A]:[After restock G]],"&lt;0")</f>
        <v>-1638.2739999999999</v>
      </c>
      <c r="AB73" s="133"/>
    </row>
    <row r="74" spans="1:28" s="39" customFormat="1" ht="42.75" hidden="1" customHeight="1" x14ac:dyDescent="0.3">
      <c r="A74" s="130" t="s">
        <v>533</v>
      </c>
      <c r="B74" s="96" t="s">
        <v>576</v>
      </c>
      <c r="C74" s="131" t="s">
        <v>233</v>
      </c>
      <c r="D74" s="134" t="s">
        <v>232</v>
      </c>
      <c r="E74" s="134" t="s">
        <v>556</v>
      </c>
      <c r="F74" s="134">
        <v>1134.1848</v>
      </c>
      <c r="G74" s="134">
        <f>Table3[[#This Row],[Begin stocks]]-Table3[[#This Row],[Need of A]]</f>
        <v>-1104.5090399999999</v>
      </c>
      <c r="H74" s="134">
        <f>IF(Table3[[#This Row],[Before restocks A]]&lt;0, 0, Table3[[#This Row],[Before restocks A]])</f>
        <v>0</v>
      </c>
      <c r="I74" s="132">
        <v>31703</v>
      </c>
      <c r="J74" s="132">
        <f>Table3[[#This Row],[After restocks A]]-Table3[[#This Row],[Need of B]]</f>
        <v>-31703</v>
      </c>
      <c r="K74" s="132">
        <f>IF(Table3[[#This Row],[Before restock B]]&lt;0,0,Table3[[#This Row],[Before restock B]])</f>
        <v>0</v>
      </c>
      <c r="L74" s="132">
        <v>959.94</v>
      </c>
      <c r="M74" s="132">
        <f>Table3[[#This Row],[After restock B]]-Table3[[#This Row],[Need of C]]</f>
        <v>-959.94</v>
      </c>
      <c r="N74" s="132">
        <f>IF(Table3[[#This Row],[Before restock C]]&lt;0,0,Table3[[#This Row],[Before restock C]])</f>
        <v>0</v>
      </c>
      <c r="O74" s="132">
        <v>11021.552559999998</v>
      </c>
      <c r="P74" s="132">
        <f>Table3[[#This Row],[After restock C]]-Table3[[#This Row],[Need of D]]</f>
        <v>-11021.552559999998</v>
      </c>
      <c r="Q74" s="132">
        <f>IF(Table3[[#This Row],[Before restock D]]&lt;0,0,Table3[[#This Row],[Before restock D]])</f>
        <v>0</v>
      </c>
      <c r="R74" s="132">
        <v>0</v>
      </c>
      <c r="S74" s="132">
        <f>Table3[[#This Row],[After restock D]]-Table3[[#This Row],[Need of E]]</f>
        <v>0</v>
      </c>
      <c r="T74" s="132">
        <f>IF(Table3[[#This Row],[Before restock E]]&lt;0,0,Table3[[#This Row],[Before restock E]])</f>
        <v>0</v>
      </c>
      <c r="U74" s="132">
        <v>0</v>
      </c>
      <c r="V74" s="132">
        <f>Table3[[#This Row],[After restock E]]-Table3[[#This Row],[Need of F]]</f>
        <v>0</v>
      </c>
      <c r="W74" s="132">
        <f>IF(Table3[[#This Row],[Before restock F]]&lt;0,0,Table3[[#This Row],[Before restock F]])</f>
        <v>0</v>
      </c>
      <c r="X74" s="132">
        <v>29634.611999999997</v>
      </c>
      <c r="Y74" s="132">
        <f>Table3[[#This Row],[After restock F]]-Table3[[#This Row],[Need of G]]</f>
        <v>-29634.611999999997</v>
      </c>
      <c r="Z74" s="132">
        <f>IF(Table3[[#This Row],[Before restock G]]&lt;0,0,Table3[[#This Row],[Before restock G]])</f>
        <v>0</v>
      </c>
      <c r="AA74" s="141">
        <f>SUMIF(Table3[[#This Row],[Before restocks A]:[After restock G]],"&lt;0")</f>
        <v>-74423.613599999997</v>
      </c>
      <c r="AB74" s="133"/>
    </row>
    <row r="75" spans="1:28" s="39" customFormat="1" ht="42.75" hidden="1" customHeight="1" x14ac:dyDescent="0.3">
      <c r="A75" s="130" t="s">
        <v>467</v>
      </c>
      <c r="B75" s="90" t="s">
        <v>330</v>
      </c>
      <c r="C75" s="131" t="s">
        <v>229</v>
      </c>
      <c r="D75" s="131"/>
      <c r="E75" s="131">
        <v>0</v>
      </c>
      <c r="F75" s="131">
        <v>0</v>
      </c>
      <c r="G75" s="131">
        <f>Table3[[#This Row],[Begin stocks]]-Table3[[#This Row],[Need of A]]</f>
        <v>0</v>
      </c>
      <c r="H75" s="131">
        <f>IF(Table3[[#This Row],[Before restocks A]]&lt;0, 0, Table3[[#This Row],[Before restocks A]])</f>
        <v>0</v>
      </c>
      <c r="I75" s="132">
        <v>0</v>
      </c>
      <c r="J75" s="132">
        <f>Table3[[#This Row],[After restocks A]]-Table3[[#This Row],[Need of B]]</f>
        <v>0</v>
      </c>
      <c r="K75" s="132">
        <f>IF(Table3[[#This Row],[Before restock B]]&lt;0,0,Table3[[#This Row],[Before restock B]])</f>
        <v>0</v>
      </c>
      <c r="L75" s="132">
        <v>0</v>
      </c>
      <c r="M75" s="132">
        <f>Table3[[#This Row],[After restock B]]-Table3[[#This Row],[Need of C]]</f>
        <v>0</v>
      </c>
      <c r="N75" s="132">
        <f>IF(Table3[[#This Row],[Before restock C]]&lt;0,0,Table3[[#This Row],[Before restock C]])</f>
        <v>0</v>
      </c>
      <c r="O75" s="132">
        <v>0</v>
      </c>
      <c r="P75" s="132">
        <f>Table3[[#This Row],[After restock C]]-Table3[[#This Row],[Need of D]]</f>
        <v>0</v>
      </c>
      <c r="Q75" s="132">
        <f>IF(Table3[[#This Row],[Before restock D]]&lt;0,0,Table3[[#This Row],[Before restock D]])</f>
        <v>0</v>
      </c>
      <c r="R75" s="132">
        <v>0.28000000000000003</v>
      </c>
      <c r="S75" s="132">
        <f>Table3[[#This Row],[After restock D]]-Table3[[#This Row],[Need of E]]</f>
        <v>-0.28000000000000003</v>
      </c>
      <c r="T75" s="132">
        <f>IF(Table3[[#This Row],[Before restock E]]&lt;0,0,Table3[[#This Row],[Before restock E]])</f>
        <v>0</v>
      </c>
      <c r="U75" s="132">
        <v>0</v>
      </c>
      <c r="V75" s="132">
        <f>Table3[[#This Row],[After restock E]]-Table3[[#This Row],[Need of F]]</f>
        <v>0</v>
      </c>
      <c r="W75" s="132">
        <f>IF(Table3[[#This Row],[Before restock F]]&lt;0,0,Table3[[#This Row],[Before restock F]])</f>
        <v>0</v>
      </c>
      <c r="X75" s="132">
        <v>0.84</v>
      </c>
      <c r="Y75" s="132">
        <f>Table3[[#This Row],[After restock F]]-Table3[[#This Row],[Need of G]]</f>
        <v>-0.84</v>
      </c>
      <c r="Z75" s="132">
        <f>IF(Table3[[#This Row],[Before restock G]]&lt;0,0,Table3[[#This Row],[Before restock G]])</f>
        <v>0</v>
      </c>
      <c r="AA75" s="141">
        <f>SUMIF(Table3[[#This Row],[Before restocks A]:[After restock G]],"&lt;0")</f>
        <v>-1.1200000000000001</v>
      </c>
      <c r="AB75" s="133"/>
    </row>
    <row r="76" spans="1:28" s="39" customFormat="1" ht="42.75" hidden="1" customHeight="1" x14ac:dyDescent="0.3">
      <c r="A76" s="130" t="s">
        <v>452</v>
      </c>
      <c r="B76" s="89" t="s">
        <v>347</v>
      </c>
      <c r="C76" s="131" t="s">
        <v>240</v>
      </c>
      <c r="D76" s="131"/>
      <c r="E76" s="131">
        <v>4.4800000000000004</v>
      </c>
      <c r="F76" s="131">
        <v>334.20000000000005</v>
      </c>
      <c r="G76" s="131">
        <f>Table3[[#This Row],[Begin stocks]]-Table3[[#This Row],[Need of A]]</f>
        <v>-329.72</v>
      </c>
      <c r="H76" s="131">
        <f>IF(Table3[[#This Row],[Before restocks A]]&lt;0, 0, Table3[[#This Row],[Before restocks A]])</f>
        <v>0</v>
      </c>
      <c r="I76" s="132">
        <v>3961.9999999999995</v>
      </c>
      <c r="J76" s="132">
        <f>Table3[[#This Row],[After restocks A]]-Table3[[#This Row],[Need of B]]</f>
        <v>-3961.9999999999995</v>
      </c>
      <c r="K76" s="132">
        <f>IF(Table3[[#This Row],[Before restock B]]&lt;0,0,Table3[[#This Row],[Before restock B]])</f>
        <v>0</v>
      </c>
      <c r="L76" s="132">
        <v>100.80000000000001</v>
      </c>
      <c r="M76" s="132">
        <f>Table3[[#This Row],[After restock B]]-Table3[[#This Row],[Need of C]]</f>
        <v>-100.80000000000001</v>
      </c>
      <c r="N76" s="132">
        <f>IF(Table3[[#This Row],[Before restock C]]&lt;0,0,Table3[[#This Row],[Before restock C]])</f>
        <v>0</v>
      </c>
      <c r="O76" s="132">
        <v>710.92000000000007</v>
      </c>
      <c r="P76" s="132">
        <f>Table3[[#This Row],[After restock C]]-Table3[[#This Row],[Need of D]]</f>
        <v>-710.92000000000007</v>
      </c>
      <c r="Q76" s="132">
        <f>IF(Table3[[#This Row],[Before restock D]]&lt;0,0,Table3[[#This Row],[Before restock D]])</f>
        <v>0</v>
      </c>
      <c r="R76" s="132">
        <v>0</v>
      </c>
      <c r="S76" s="132">
        <f>Table3[[#This Row],[After restock D]]-Table3[[#This Row],[Need of E]]</f>
        <v>0</v>
      </c>
      <c r="T76" s="132">
        <f>IF(Table3[[#This Row],[Before restock E]]&lt;0,0,Table3[[#This Row],[Before restock E]])</f>
        <v>0</v>
      </c>
      <c r="U76" s="132">
        <v>0</v>
      </c>
      <c r="V76" s="132">
        <f>Table3[[#This Row],[After restock E]]-Table3[[#This Row],[Need of F]]</f>
        <v>0</v>
      </c>
      <c r="W76" s="132">
        <f>IF(Table3[[#This Row],[Before restock F]]&lt;0,0,Table3[[#This Row],[Before restock F]])</f>
        <v>0</v>
      </c>
      <c r="X76" s="132">
        <v>396.19999999999993</v>
      </c>
      <c r="Y76" s="132">
        <f>Table3[[#This Row],[After restock F]]-Table3[[#This Row],[Need of G]]</f>
        <v>-396.19999999999993</v>
      </c>
      <c r="Z76" s="132">
        <f>IF(Table3[[#This Row],[Before restock G]]&lt;0,0,Table3[[#This Row],[Before restock G]])</f>
        <v>0</v>
      </c>
      <c r="AA76" s="141">
        <f>SUMIF(Table3[[#This Row],[Before restocks A]:[After restock G]],"&lt;0")</f>
        <v>-5499.6399999999994</v>
      </c>
      <c r="AB76" s="133"/>
    </row>
    <row r="77" spans="1:28" s="39" customFormat="1" ht="42.75" hidden="1" customHeight="1" x14ac:dyDescent="0.3">
      <c r="A77" s="130" t="s">
        <v>453</v>
      </c>
      <c r="B77" s="89" t="s">
        <v>346</v>
      </c>
      <c r="C77" s="131" t="s">
        <v>240</v>
      </c>
      <c r="D77" s="134"/>
      <c r="E77" s="134">
        <v>0</v>
      </c>
      <c r="F77" s="134">
        <v>0</v>
      </c>
      <c r="G77" s="134">
        <f>Table3[[#This Row],[Begin stocks]]-Table3[[#This Row],[Need of A]]</f>
        <v>0</v>
      </c>
      <c r="H77" s="134">
        <f>IF(Table3[[#This Row],[Before restocks A]]&lt;0, 0, Table3[[#This Row],[Before restocks A]])</f>
        <v>0</v>
      </c>
      <c r="I77" s="132">
        <v>3010</v>
      </c>
      <c r="J77" s="132">
        <f>Table3[[#This Row],[After restocks A]]-Table3[[#This Row],[Need of B]]</f>
        <v>-3010</v>
      </c>
      <c r="K77" s="132">
        <f>IF(Table3[[#This Row],[Before restock B]]&lt;0,0,Table3[[#This Row],[Before restock B]])</f>
        <v>0</v>
      </c>
      <c r="L77" s="132">
        <v>77.400000000000006</v>
      </c>
      <c r="M77" s="132">
        <f>Table3[[#This Row],[After restock B]]-Table3[[#This Row],[Need of C]]</f>
        <v>-77.400000000000006</v>
      </c>
      <c r="N77" s="132">
        <f>IF(Table3[[#This Row],[Before restock C]]&lt;0,0,Table3[[#This Row],[Before restock C]])</f>
        <v>0</v>
      </c>
      <c r="O77" s="132">
        <v>545.24</v>
      </c>
      <c r="P77" s="132">
        <f>Table3[[#This Row],[After restock C]]-Table3[[#This Row],[Need of D]]</f>
        <v>-545.24</v>
      </c>
      <c r="Q77" s="132">
        <f>IF(Table3[[#This Row],[Before restock D]]&lt;0,0,Table3[[#This Row],[Before restock D]])</f>
        <v>0</v>
      </c>
      <c r="R77" s="132">
        <v>0</v>
      </c>
      <c r="S77" s="132">
        <f>Table3[[#This Row],[After restock D]]-Table3[[#This Row],[Need of E]]</f>
        <v>0</v>
      </c>
      <c r="T77" s="132">
        <f>IF(Table3[[#This Row],[Before restock E]]&lt;0,0,Table3[[#This Row],[Before restock E]])</f>
        <v>0</v>
      </c>
      <c r="U77" s="132">
        <v>0</v>
      </c>
      <c r="V77" s="132">
        <f>Table3[[#This Row],[After restock E]]-Table3[[#This Row],[Need of F]]</f>
        <v>0</v>
      </c>
      <c r="W77" s="132">
        <f>IF(Table3[[#This Row],[Before restock F]]&lt;0,0,Table3[[#This Row],[Before restock F]])</f>
        <v>0</v>
      </c>
      <c r="X77" s="132">
        <v>301</v>
      </c>
      <c r="Y77" s="132">
        <f>Table3[[#This Row],[After restock F]]-Table3[[#This Row],[Need of G]]</f>
        <v>-301</v>
      </c>
      <c r="Z77" s="132">
        <f>IF(Table3[[#This Row],[Before restock G]]&lt;0,0,Table3[[#This Row],[Before restock G]])</f>
        <v>0</v>
      </c>
      <c r="AA77" s="141">
        <f>SUMIF(Table3[[#This Row],[Before restocks A]:[After restock G]],"&lt;0")</f>
        <v>-3933.6400000000003</v>
      </c>
      <c r="AB77" s="133"/>
    </row>
    <row r="78" spans="1:28" s="39" customFormat="1" ht="42.75" hidden="1" customHeight="1" x14ac:dyDescent="0.3">
      <c r="A78" s="130" t="s">
        <v>483</v>
      </c>
      <c r="B78" s="89" t="s">
        <v>313</v>
      </c>
      <c r="C78" s="131" t="s">
        <v>240</v>
      </c>
      <c r="D78" s="134"/>
      <c r="E78" s="134">
        <v>0</v>
      </c>
      <c r="F78" s="134">
        <v>0</v>
      </c>
      <c r="G78" s="134">
        <f>Table3[[#This Row],[Begin stocks]]-Table3[[#This Row],[Need of A]]</f>
        <v>0</v>
      </c>
      <c r="H78" s="134">
        <f>IF(Table3[[#This Row],[Before restocks A]]&lt;0, 0, Table3[[#This Row],[Before restocks A]])</f>
        <v>0</v>
      </c>
      <c r="I78" s="132">
        <v>0</v>
      </c>
      <c r="J78" s="132">
        <f>Table3[[#This Row],[After restocks A]]-Table3[[#This Row],[Need of B]]</f>
        <v>0</v>
      </c>
      <c r="K78" s="132">
        <f>IF(Table3[[#This Row],[Before restock B]]&lt;0,0,Table3[[#This Row],[Before restock B]])</f>
        <v>0</v>
      </c>
      <c r="L78" s="132">
        <v>3.5999999999999996</v>
      </c>
      <c r="M78" s="132">
        <f>Table3[[#This Row],[After restock B]]-Table3[[#This Row],[Need of C]]</f>
        <v>-3.5999999999999996</v>
      </c>
      <c r="N78" s="132">
        <f>IF(Table3[[#This Row],[Before restock C]]&lt;0,0,Table3[[#This Row],[Before restock C]])</f>
        <v>0</v>
      </c>
      <c r="O78" s="132">
        <v>0</v>
      </c>
      <c r="P78" s="132">
        <f>Table3[[#This Row],[After restock C]]-Table3[[#This Row],[Need of D]]</f>
        <v>0</v>
      </c>
      <c r="Q78" s="132">
        <f>IF(Table3[[#This Row],[Before restock D]]&lt;0,0,Table3[[#This Row],[Before restock D]])</f>
        <v>0</v>
      </c>
      <c r="R78" s="132">
        <v>0</v>
      </c>
      <c r="S78" s="132">
        <f>Table3[[#This Row],[After restock D]]-Table3[[#This Row],[Need of E]]</f>
        <v>0</v>
      </c>
      <c r="T78" s="132">
        <f>IF(Table3[[#This Row],[Before restock E]]&lt;0,0,Table3[[#This Row],[Before restock E]])</f>
        <v>0</v>
      </c>
      <c r="U78" s="132">
        <v>0</v>
      </c>
      <c r="V78" s="132">
        <f>Table3[[#This Row],[After restock E]]-Table3[[#This Row],[Need of F]]</f>
        <v>0</v>
      </c>
      <c r="W78" s="132">
        <f>IF(Table3[[#This Row],[Before restock F]]&lt;0,0,Table3[[#This Row],[Before restock F]])</f>
        <v>0</v>
      </c>
      <c r="X78" s="132">
        <v>0</v>
      </c>
      <c r="Y78" s="132">
        <f>Table3[[#This Row],[After restock F]]-Table3[[#This Row],[Need of G]]</f>
        <v>0</v>
      </c>
      <c r="Z78" s="132">
        <f>IF(Table3[[#This Row],[Before restock G]]&lt;0,0,Table3[[#This Row],[Before restock G]])</f>
        <v>0</v>
      </c>
      <c r="AA78" s="141">
        <f>SUMIF(Table3[[#This Row],[Before restocks A]:[After restock G]],"&lt;0")</f>
        <v>-3.5999999999999996</v>
      </c>
      <c r="AB78" s="133"/>
    </row>
    <row r="79" spans="1:28" s="39" customFormat="1" ht="42.75" hidden="1" customHeight="1" x14ac:dyDescent="0.3">
      <c r="A79" s="130" t="s">
        <v>482</v>
      </c>
      <c r="B79" s="89" t="s">
        <v>314</v>
      </c>
      <c r="C79" s="131" t="s">
        <v>240</v>
      </c>
      <c r="D79" s="134"/>
      <c r="E79" s="134">
        <v>0</v>
      </c>
      <c r="F79" s="134">
        <v>0</v>
      </c>
      <c r="G79" s="134">
        <f>Table3[[#This Row],[Begin stocks]]-Table3[[#This Row],[Need of A]]</f>
        <v>0</v>
      </c>
      <c r="H79" s="134">
        <f>IF(Table3[[#This Row],[Before restocks A]]&lt;0, 0, Table3[[#This Row],[Before restocks A]])</f>
        <v>0</v>
      </c>
      <c r="I79" s="132">
        <v>490.00000000000006</v>
      </c>
      <c r="J79" s="132">
        <f>Table3[[#This Row],[After restocks A]]-Table3[[#This Row],[Need of B]]</f>
        <v>-490.00000000000006</v>
      </c>
      <c r="K79" s="132">
        <f>IF(Table3[[#This Row],[Before restock B]]&lt;0,0,Table3[[#This Row],[Before restock B]])</f>
        <v>0</v>
      </c>
      <c r="L79" s="132">
        <v>12.600000000000001</v>
      </c>
      <c r="M79" s="132">
        <f>Table3[[#This Row],[After restock B]]-Table3[[#This Row],[Need of C]]</f>
        <v>-12.600000000000001</v>
      </c>
      <c r="N79" s="132">
        <f>IF(Table3[[#This Row],[Before restock C]]&lt;0,0,Table3[[#This Row],[Before restock C]])</f>
        <v>0</v>
      </c>
      <c r="O79" s="132">
        <v>104.55200000000001</v>
      </c>
      <c r="P79" s="132">
        <f>Table3[[#This Row],[After restock C]]-Table3[[#This Row],[Need of D]]</f>
        <v>-104.55200000000001</v>
      </c>
      <c r="Q79" s="132">
        <f>IF(Table3[[#This Row],[Before restock D]]&lt;0,0,Table3[[#This Row],[Before restock D]])</f>
        <v>0</v>
      </c>
      <c r="R79" s="132">
        <v>0</v>
      </c>
      <c r="S79" s="132">
        <f>Table3[[#This Row],[After restock D]]-Table3[[#This Row],[Need of E]]</f>
        <v>0</v>
      </c>
      <c r="T79" s="132">
        <f>IF(Table3[[#This Row],[Before restock E]]&lt;0,0,Table3[[#This Row],[Before restock E]])</f>
        <v>0</v>
      </c>
      <c r="U79" s="132">
        <v>0</v>
      </c>
      <c r="V79" s="132">
        <f>Table3[[#This Row],[After restock E]]-Table3[[#This Row],[Need of F]]</f>
        <v>0</v>
      </c>
      <c r="W79" s="132">
        <f>IF(Table3[[#This Row],[Before restock F]]&lt;0,0,Table3[[#This Row],[Before restock F]])</f>
        <v>0</v>
      </c>
      <c r="X79" s="132">
        <v>49.000000000000007</v>
      </c>
      <c r="Y79" s="132">
        <f>Table3[[#This Row],[After restock F]]-Table3[[#This Row],[Need of G]]</f>
        <v>-49.000000000000007</v>
      </c>
      <c r="Z79" s="132">
        <f>IF(Table3[[#This Row],[Before restock G]]&lt;0,0,Table3[[#This Row],[Before restock G]])</f>
        <v>0</v>
      </c>
      <c r="AA79" s="141">
        <f>SUMIF(Table3[[#This Row],[Before restocks A]:[After restock G]],"&lt;0")</f>
        <v>-656.15200000000004</v>
      </c>
      <c r="AB79" s="133"/>
    </row>
    <row r="80" spans="1:28" s="39" customFormat="1" ht="42.75" hidden="1" customHeight="1" x14ac:dyDescent="0.3">
      <c r="A80" s="130" t="s">
        <v>456</v>
      </c>
      <c r="B80" s="89" t="s">
        <v>342</v>
      </c>
      <c r="C80" s="131" t="s">
        <v>240</v>
      </c>
      <c r="D80" s="131" t="s">
        <v>307</v>
      </c>
      <c r="E80" s="131" t="s">
        <v>560</v>
      </c>
      <c r="F80" s="131">
        <v>16.5</v>
      </c>
      <c r="G80" s="131">
        <f>Table3[[#This Row],[Begin stocks]]-Table3[[#This Row],[Need of A]]</f>
        <v>-16.5</v>
      </c>
      <c r="H80" s="131">
        <f>IF(Table3[[#This Row],[Before restocks A]]&lt;0, 0, Table3[[#This Row],[Before restocks A]])</f>
        <v>0</v>
      </c>
      <c r="I80" s="132">
        <v>0</v>
      </c>
      <c r="J80" s="132">
        <f>Table3[[#This Row],[After restocks A]]-Table3[[#This Row],[Need of B]]</f>
        <v>0</v>
      </c>
      <c r="K80" s="132">
        <f>IF(Table3[[#This Row],[Before restock B]]&lt;0,0,Table3[[#This Row],[Before restock B]])</f>
        <v>0</v>
      </c>
      <c r="L80" s="132">
        <v>0</v>
      </c>
      <c r="M80" s="132">
        <f>Table3[[#This Row],[After restock B]]-Table3[[#This Row],[Need of C]]</f>
        <v>0</v>
      </c>
      <c r="N80" s="132">
        <f>IF(Table3[[#This Row],[Before restock C]]&lt;0,0,Table3[[#This Row],[Before restock C]])</f>
        <v>0</v>
      </c>
      <c r="O80" s="132">
        <v>0</v>
      </c>
      <c r="P80" s="132">
        <f>Table3[[#This Row],[After restock C]]-Table3[[#This Row],[Need of D]]</f>
        <v>0</v>
      </c>
      <c r="Q80" s="132">
        <f>IF(Table3[[#This Row],[Before restock D]]&lt;0,0,Table3[[#This Row],[Before restock D]])</f>
        <v>0</v>
      </c>
      <c r="R80" s="132">
        <v>0</v>
      </c>
      <c r="S80" s="132">
        <f>Table3[[#This Row],[After restock D]]-Table3[[#This Row],[Need of E]]</f>
        <v>0</v>
      </c>
      <c r="T80" s="132">
        <f>IF(Table3[[#This Row],[Before restock E]]&lt;0,0,Table3[[#This Row],[Before restock E]])</f>
        <v>0</v>
      </c>
      <c r="U80" s="132">
        <v>0</v>
      </c>
      <c r="V80" s="132">
        <f>Table3[[#This Row],[After restock E]]-Table3[[#This Row],[Need of F]]</f>
        <v>0</v>
      </c>
      <c r="W80" s="132">
        <f>IF(Table3[[#This Row],[Before restock F]]&lt;0,0,Table3[[#This Row],[Before restock F]])</f>
        <v>0</v>
      </c>
      <c r="X80" s="132">
        <v>0</v>
      </c>
      <c r="Y80" s="132">
        <f>Table3[[#This Row],[After restock F]]-Table3[[#This Row],[Need of G]]</f>
        <v>0</v>
      </c>
      <c r="Z80" s="132">
        <f>IF(Table3[[#This Row],[Before restock G]]&lt;0,0,Table3[[#This Row],[Before restock G]])</f>
        <v>0</v>
      </c>
      <c r="AA80" s="141">
        <f>SUMIF(Table3[[#This Row],[Before restocks A]:[After restock G]],"&lt;0")</f>
        <v>-16.5</v>
      </c>
      <c r="AB80" s="133"/>
    </row>
    <row r="81" spans="1:28" s="39" customFormat="1" ht="42.75" hidden="1" customHeight="1" x14ac:dyDescent="0.3">
      <c r="A81" s="130" t="s">
        <v>455</v>
      </c>
      <c r="B81" s="89" t="s">
        <v>344</v>
      </c>
      <c r="C81" s="131" t="s">
        <v>240</v>
      </c>
      <c r="D81" s="134"/>
      <c r="E81" s="134">
        <v>3.28</v>
      </c>
      <c r="F81" s="134">
        <v>0</v>
      </c>
      <c r="G81" s="134">
        <f>Table3[[#This Row],[Begin stocks]]-Table3[[#This Row],[Need of A]]</f>
        <v>3.28</v>
      </c>
      <c r="H81" s="134">
        <f>IF(Table3[[#This Row],[Before restocks A]]&lt;0, 0, Table3[[#This Row],[Before restocks A]])</f>
        <v>3.28</v>
      </c>
      <c r="I81" s="132">
        <v>5739.9999999999991</v>
      </c>
      <c r="J81" s="132">
        <f>Table3[[#This Row],[After restocks A]]-Table3[[#This Row],[Need of B]]</f>
        <v>-5736.7199999999993</v>
      </c>
      <c r="K81" s="132">
        <f>IF(Table3[[#This Row],[Before restock B]]&lt;0,0,Table3[[#This Row],[Before restock B]])</f>
        <v>0</v>
      </c>
      <c r="L81" s="132">
        <v>147.6</v>
      </c>
      <c r="M81" s="132">
        <f>Table3[[#This Row],[After restock B]]-Table3[[#This Row],[Need of C]]</f>
        <v>-147.6</v>
      </c>
      <c r="N81" s="132">
        <f>IF(Table3[[#This Row],[Before restock C]]&lt;0,0,Table3[[#This Row],[Before restock C]])</f>
        <v>0</v>
      </c>
      <c r="O81" s="132">
        <v>1039.76</v>
      </c>
      <c r="P81" s="132">
        <f>Table3[[#This Row],[After restock C]]-Table3[[#This Row],[Need of D]]</f>
        <v>-1039.76</v>
      </c>
      <c r="Q81" s="132">
        <f>IF(Table3[[#This Row],[Before restock D]]&lt;0,0,Table3[[#This Row],[Before restock D]])</f>
        <v>0</v>
      </c>
      <c r="R81" s="132">
        <v>0</v>
      </c>
      <c r="S81" s="132">
        <f>Table3[[#This Row],[After restock D]]-Table3[[#This Row],[Need of E]]</f>
        <v>0</v>
      </c>
      <c r="T81" s="132">
        <f>IF(Table3[[#This Row],[Before restock E]]&lt;0,0,Table3[[#This Row],[Before restock E]])</f>
        <v>0</v>
      </c>
      <c r="U81" s="132">
        <v>0</v>
      </c>
      <c r="V81" s="132">
        <f>Table3[[#This Row],[After restock E]]-Table3[[#This Row],[Need of F]]</f>
        <v>0</v>
      </c>
      <c r="W81" s="132">
        <f>IF(Table3[[#This Row],[Before restock F]]&lt;0,0,Table3[[#This Row],[Before restock F]])</f>
        <v>0</v>
      </c>
      <c r="X81" s="132">
        <v>574</v>
      </c>
      <c r="Y81" s="132">
        <f>Table3[[#This Row],[After restock F]]-Table3[[#This Row],[Need of G]]</f>
        <v>-574</v>
      </c>
      <c r="Z81" s="132">
        <f>IF(Table3[[#This Row],[Before restock G]]&lt;0,0,Table3[[#This Row],[Before restock G]])</f>
        <v>0</v>
      </c>
      <c r="AA81" s="141">
        <f>SUMIF(Table3[[#This Row],[Before restocks A]:[After restock G]],"&lt;0")</f>
        <v>-7498.08</v>
      </c>
      <c r="AB81" s="133"/>
    </row>
    <row r="82" spans="1:28" s="39" customFormat="1" ht="42.75" hidden="1" customHeight="1" x14ac:dyDescent="0.3">
      <c r="A82" s="130" t="s">
        <v>454</v>
      </c>
      <c r="B82" s="89" t="s">
        <v>345</v>
      </c>
      <c r="C82" s="131" t="s">
        <v>240</v>
      </c>
      <c r="D82" s="131"/>
      <c r="E82" s="131">
        <v>5.2220000000000004</v>
      </c>
      <c r="F82" s="131">
        <v>0</v>
      </c>
      <c r="G82" s="131">
        <f>Table3[[#This Row],[Begin stocks]]-Table3[[#This Row],[Need of A]]</f>
        <v>5.2220000000000004</v>
      </c>
      <c r="H82" s="131">
        <f>IF(Table3[[#This Row],[Before restocks A]]&lt;0, 0, Table3[[#This Row],[Before restocks A]])</f>
        <v>5.2220000000000004</v>
      </c>
      <c r="I82" s="132">
        <v>9135</v>
      </c>
      <c r="J82" s="132">
        <f>Table3[[#This Row],[After restocks A]]-Table3[[#This Row],[Need of B]]</f>
        <v>-9129.7780000000002</v>
      </c>
      <c r="K82" s="132">
        <f>IF(Table3[[#This Row],[Before restock B]]&lt;0,0,Table3[[#This Row],[Before restock B]])</f>
        <v>0</v>
      </c>
      <c r="L82" s="132">
        <v>235.08</v>
      </c>
      <c r="M82" s="132">
        <f>Table3[[#This Row],[After restock B]]-Table3[[#This Row],[Need of C]]</f>
        <v>-235.08</v>
      </c>
      <c r="N82" s="132">
        <f>IF(Table3[[#This Row],[Before restock C]]&lt;0,0,Table3[[#This Row],[Before restock C]])</f>
        <v>0</v>
      </c>
      <c r="O82" s="132">
        <v>1655.8680000000002</v>
      </c>
      <c r="P82" s="132">
        <f>Table3[[#This Row],[After restock C]]-Table3[[#This Row],[Need of D]]</f>
        <v>-1655.8680000000002</v>
      </c>
      <c r="Q82" s="132">
        <f>IF(Table3[[#This Row],[Before restock D]]&lt;0,0,Table3[[#This Row],[Before restock D]])</f>
        <v>0</v>
      </c>
      <c r="R82" s="132">
        <v>0</v>
      </c>
      <c r="S82" s="132">
        <f>Table3[[#This Row],[After restock D]]-Table3[[#This Row],[Need of E]]</f>
        <v>0</v>
      </c>
      <c r="T82" s="132">
        <f>IF(Table3[[#This Row],[Before restock E]]&lt;0,0,Table3[[#This Row],[Before restock E]])</f>
        <v>0</v>
      </c>
      <c r="U82" s="132">
        <v>0</v>
      </c>
      <c r="V82" s="132">
        <f>Table3[[#This Row],[After restock E]]-Table3[[#This Row],[Need of F]]</f>
        <v>0</v>
      </c>
      <c r="W82" s="132">
        <f>IF(Table3[[#This Row],[Before restock F]]&lt;0,0,Table3[[#This Row],[Before restock F]])</f>
        <v>0</v>
      </c>
      <c r="X82" s="132">
        <v>913.49999999999989</v>
      </c>
      <c r="Y82" s="132">
        <f>Table3[[#This Row],[After restock F]]-Table3[[#This Row],[Need of G]]</f>
        <v>-913.49999999999989</v>
      </c>
      <c r="Z82" s="132">
        <f>IF(Table3[[#This Row],[Before restock G]]&lt;0,0,Table3[[#This Row],[Before restock G]])</f>
        <v>0</v>
      </c>
      <c r="AA82" s="141">
        <f>SUMIF(Table3[[#This Row],[Before restocks A]:[After restock G]],"&lt;0")</f>
        <v>-11934.226000000001</v>
      </c>
      <c r="AB82" s="133"/>
    </row>
    <row r="83" spans="1:28" s="39" customFormat="1" ht="42.75" hidden="1" customHeight="1" x14ac:dyDescent="0.3">
      <c r="A83" s="130" t="s">
        <v>450</v>
      </c>
      <c r="B83" s="89" t="s">
        <v>349</v>
      </c>
      <c r="C83" s="131" t="s">
        <v>240</v>
      </c>
      <c r="D83" s="131"/>
      <c r="E83" s="131">
        <v>6.2329999999999997</v>
      </c>
      <c r="F83" s="131">
        <v>934.94999999999993</v>
      </c>
      <c r="G83" s="131">
        <f>Table3[[#This Row],[Begin stocks]]-Table3[[#This Row],[Need of A]]</f>
        <v>-928.71699999999998</v>
      </c>
      <c r="H83" s="131">
        <f>IF(Table3[[#This Row],[Before restocks A]]&lt;0, 0, Table3[[#This Row],[Before restocks A]])</f>
        <v>0</v>
      </c>
      <c r="I83" s="132">
        <v>0</v>
      </c>
      <c r="J83" s="132">
        <f>Table3[[#This Row],[After restocks A]]-Table3[[#This Row],[Need of B]]</f>
        <v>0</v>
      </c>
      <c r="K83" s="132">
        <f>IF(Table3[[#This Row],[Before restock B]]&lt;0,0,Table3[[#This Row],[Before restock B]])</f>
        <v>0</v>
      </c>
      <c r="L83" s="132">
        <v>0</v>
      </c>
      <c r="M83" s="132">
        <f>Table3[[#This Row],[After restock B]]-Table3[[#This Row],[Need of C]]</f>
        <v>0</v>
      </c>
      <c r="N83" s="132">
        <f>IF(Table3[[#This Row],[Before restock C]]&lt;0,0,Table3[[#This Row],[Before restock C]])</f>
        <v>0</v>
      </c>
      <c r="O83" s="132">
        <v>0</v>
      </c>
      <c r="P83" s="132">
        <f>Table3[[#This Row],[After restock C]]-Table3[[#This Row],[Need of D]]</f>
        <v>0</v>
      </c>
      <c r="Q83" s="132">
        <f>IF(Table3[[#This Row],[Before restock D]]&lt;0,0,Table3[[#This Row],[Before restock D]])</f>
        <v>0</v>
      </c>
      <c r="R83" s="132">
        <v>0</v>
      </c>
      <c r="S83" s="132">
        <f>Table3[[#This Row],[After restock D]]-Table3[[#This Row],[Need of E]]</f>
        <v>0</v>
      </c>
      <c r="T83" s="132">
        <f>IF(Table3[[#This Row],[Before restock E]]&lt;0,0,Table3[[#This Row],[Before restock E]])</f>
        <v>0</v>
      </c>
      <c r="U83" s="132">
        <v>0</v>
      </c>
      <c r="V83" s="132">
        <f>Table3[[#This Row],[After restock E]]-Table3[[#This Row],[Need of F]]</f>
        <v>0</v>
      </c>
      <c r="W83" s="132">
        <f>IF(Table3[[#This Row],[Before restock F]]&lt;0,0,Table3[[#This Row],[Before restock F]])</f>
        <v>0</v>
      </c>
      <c r="X83" s="132">
        <v>0</v>
      </c>
      <c r="Y83" s="132">
        <f>Table3[[#This Row],[After restock F]]-Table3[[#This Row],[Need of G]]</f>
        <v>0</v>
      </c>
      <c r="Z83" s="132">
        <f>IF(Table3[[#This Row],[Before restock G]]&lt;0,0,Table3[[#This Row],[Before restock G]])</f>
        <v>0</v>
      </c>
      <c r="AA83" s="141">
        <f>SUMIF(Table3[[#This Row],[Before restocks A]:[After restock G]],"&lt;0")</f>
        <v>-928.71699999999998</v>
      </c>
      <c r="AB83" s="133"/>
    </row>
    <row r="84" spans="1:28" s="39" customFormat="1" ht="42.75" hidden="1" customHeight="1" x14ac:dyDescent="0.3">
      <c r="A84" s="130" t="s">
        <v>527</v>
      </c>
      <c r="B84" s="89" t="s">
        <v>267</v>
      </c>
      <c r="C84" s="131" t="s">
        <v>240</v>
      </c>
      <c r="D84" s="134"/>
      <c r="E84" s="134">
        <v>0</v>
      </c>
      <c r="F84" s="134">
        <v>270</v>
      </c>
      <c r="G84" s="134">
        <f>Table3[[#This Row],[Begin stocks]]-Table3[[#This Row],[Need of A]]</f>
        <v>-270</v>
      </c>
      <c r="H84" s="134">
        <f>IF(Table3[[#This Row],[Before restocks A]]&lt;0, 0, Table3[[#This Row],[Before restocks A]])</f>
        <v>0</v>
      </c>
      <c r="I84" s="132">
        <v>1400</v>
      </c>
      <c r="J84" s="132">
        <f>Table3[[#This Row],[After restocks A]]-Table3[[#This Row],[Need of B]]</f>
        <v>-1400</v>
      </c>
      <c r="K84" s="132">
        <f>IF(Table3[[#This Row],[Before restock B]]&lt;0,0,Table3[[#This Row],[Before restock B]])</f>
        <v>0</v>
      </c>
      <c r="L84" s="132">
        <v>120</v>
      </c>
      <c r="M84" s="132">
        <f>Table3[[#This Row],[After restock B]]-Table3[[#This Row],[Need of C]]</f>
        <v>-120</v>
      </c>
      <c r="N84" s="132">
        <f>IF(Table3[[#This Row],[Before restock C]]&lt;0,0,Table3[[#This Row],[Before restock C]])</f>
        <v>0</v>
      </c>
      <c r="O84" s="132">
        <v>1015</v>
      </c>
      <c r="P84" s="132">
        <f>Table3[[#This Row],[After restock C]]-Table3[[#This Row],[Need of D]]</f>
        <v>-1015</v>
      </c>
      <c r="Q84" s="132">
        <f>IF(Table3[[#This Row],[Before restock D]]&lt;0,0,Table3[[#This Row],[Before restock D]])</f>
        <v>0</v>
      </c>
      <c r="R84" s="132">
        <v>70</v>
      </c>
      <c r="S84" s="132">
        <f>Table3[[#This Row],[After restock D]]-Table3[[#This Row],[Need of E]]</f>
        <v>-70</v>
      </c>
      <c r="T84" s="132">
        <f>IF(Table3[[#This Row],[Before restock E]]&lt;0,0,Table3[[#This Row],[Before restock E]])</f>
        <v>0</v>
      </c>
      <c r="U84" s="132">
        <v>1200</v>
      </c>
      <c r="V84" s="132">
        <f>Table3[[#This Row],[After restock E]]-Table3[[#This Row],[Need of F]]</f>
        <v>-1200</v>
      </c>
      <c r="W84" s="132">
        <f>IF(Table3[[#This Row],[Before restock F]]&lt;0,0,Table3[[#This Row],[Before restock F]])</f>
        <v>0</v>
      </c>
      <c r="X84" s="132">
        <v>1050</v>
      </c>
      <c r="Y84" s="132">
        <f>Table3[[#This Row],[After restock F]]-Table3[[#This Row],[Need of G]]</f>
        <v>-1050</v>
      </c>
      <c r="Z84" s="132">
        <f>IF(Table3[[#This Row],[Before restock G]]&lt;0,0,Table3[[#This Row],[Before restock G]])</f>
        <v>0</v>
      </c>
      <c r="AA84" s="141">
        <f>SUMIF(Table3[[#This Row],[Before restocks A]:[After restock G]],"&lt;0")</f>
        <v>-5125</v>
      </c>
      <c r="AB84" s="133"/>
    </row>
    <row r="85" spans="1:28" s="39" customFormat="1" ht="42.75" hidden="1" customHeight="1" x14ac:dyDescent="0.3">
      <c r="A85" s="130" t="s">
        <v>504</v>
      </c>
      <c r="B85" s="88" t="s">
        <v>290</v>
      </c>
      <c r="C85" s="131" t="s">
        <v>229</v>
      </c>
      <c r="D85" s="134"/>
      <c r="E85" s="134">
        <v>0</v>
      </c>
      <c r="F85" s="134">
        <v>0</v>
      </c>
      <c r="G85" s="134">
        <f>Table3[[#This Row],[Begin stocks]]-Table3[[#This Row],[Need of A]]</f>
        <v>0</v>
      </c>
      <c r="H85" s="134">
        <f>IF(Table3[[#This Row],[Before restocks A]]&lt;0, 0, Table3[[#This Row],[Before restocks A]])</f>
        <v>0</v>
      </c>
      <c r="I85" s="132">
        <v>700</v>
      </c>
      <c r="J85" s="132">
        <f>Table3[[#This Row],[After restocks A]]-Table3[[#This Row],[Need of B]]</f>
        <v>-700</v>
      </c>
      <c r="K85" s="132">
        <f>IF(Table3[[#This Row],[Before restock B]]&lt;0,0,Table3[[#This Row],[Before restock B]])</f>
        <v>0</v>
      </c>
      <c r="L85" s="132">
        <v>0</v>
      </c>
      <c r="M85" s="132">
        <f>Table3[[#This Row],[After restock B]]-Table3[[#This Row],[Need of C]]</f>
        <v>0</v>
      </c>
      <c r="N85" s="132">
        <f>IF(Table3[[#This Row],[Before restock C]]&lt;0,0,Table3[[#This Row],[Before restock C]])</f>
        <v>0</v>
      </c>
      <c r="O85" s="132">
        <v>14</v>
      </c>
      <c r="P85" s="132">
        <f>Table3[[#This Row],[After restock C]]-Table3[[#This Row],[Need of D]]</f>
        <v>-14</v>
      </c>
      <c r="Q85" s="132">
        <f>IF(Table3[[#This Row],[Before restock D]]&lt;0,0,Table3[[#This Row],[Before restock D]])</f>
        <v>0</v>
      </c>
      <c r="R85" s="132">
        <v>0</v>
      </c>
      <c r="S85" s="132">
        <f>Table3[[#This Row],[After restock D]]-Table3[[#This Row],[Need of E]]</f>
        <v>0</v>
      </c>
      <c r="T85" s="132">
        <f>IF(Table3[[#This Row],[Before restock E]]&lt;0,0,Table3[[#This Row],[Before restock E]])</f>
        <v>0</v>
      </c>
      <c r="U85" s="132">
        <v>0</v>
      </c>
      <c r="V85" s="132">
        <f>Table3[[#This Row],[After restock E]]-Table3[[#This Row],[Need of F]]</f>
        <v>0</v>
      </c>
      <c r="W85" s="132">
        <f>IF(Table3[[#This Row],[Before restock F]]&lt;0,0,Table3[[#This Row],[Before restock F]])</f>
        <v>0</v>
      </c>
      <c r="X85" s="132">
        <v>70</v>
      </c>
      <c r="Y85" s="132">
        <f>Table3[[#This Row],[After restock F]]-Table3[[#This Row],[Need of G]]</f>
        <v>-70</v>
      </c>
      <c r="Z85" s="132">
        <f>IF(Table3[[#This Row],[Before restock G]]&lt;0,0,Table3[[#This Row],[Before restock G]])</f>
        <v>0</v>
      </c>
      <c r="AA85" s="141">
        <f>SUMIF(Table3[[#This Row],[Before restocks A]:[After restock G]],"&lt;0")</f>
        <v>-784</v>
      </c>
      <c r="AB85" s="133"/>
    </row>
    <row r="86" spans="1:28" s="39" customFormat="1" ht="42.75" hidden="1" customHeight="1" x14ac:dyDescent="0.3">
      <c r="A86" s="130" t="s">
        <v>506</v>
      </c>
      <c r="B86" s="88" t="s">
        <v>288</v>
      </c>
      <c r="C86" s="131" t="s">
        <v>229</v>
      </c>
      <c r="D86" s="131"/>
      <c r="E86" s="131">
        <v>0</v>
      </c>
      <c r="F86" s="131">
        <v>0</v>
      </c>
      <c r="G86" s="131">
        <f>Table3[[#This Row],[Begin stocks]]-Table3[[#This Row],[Need of A]]</f>
        <v>0</v>
      </c>
      <c r="H86" s="131">
        <f>IF(Table3[[#This Row],[Before restocks A]]&lt;0, 0, Table3[[#This Row],[Before restocks A]])</f>
        <v>0</v>
      </c>
      <c r="I86" s="132">
        <v>700</v>
      </c>
      <c r="J86" s="132">
        <f>Table3[[#This Row],[After restocks A]]-Table3[[#This Row],[Need of B]]</f>
        <v>-700</v>
      </c>
      <c r="K86" s="132">
        <f>IF(Table3[[#This Row],[Before restock B]]&lt;0,0,Table3[[#This Row],[Before restock B]])</f>
        <v>0</v>
      </c>
      <c r="L86" s="132">
        <v>18.000000000000004</v>
      </c>
      <c r="M86" s="132">
        <f>Table3[[#This Row],[After restock B]]-Table3[[#This Row],[Need of C]]</f>
        <v>-18.000000000000004</v>
      </c>
      <c r="N86" s="132">
        <f>IF(Table3[[#This Row],[Before restock C]]&lt;0,0,Table3[[#This Row],[Before restock C]])</f>
        <v>0</v>
      </c>
      <c r="O86" s="132">
        <v>126.80000000000001</v>
      </c>
      <c r="P86" s="132">
        <f>Table3[[#This Row],[After restock C]]-Table3[[#This Row],[Need of D]]</f>
        <v>-126.80000000000001</v>
      </c>
      <c r="Q86" s="132">
        <f>IF(Table3[[#This Row],[Before restock D]]&lt;0,0,Table3[[#This Row],[Before restock D]])</f>
        <v>0</v>
      </c>
      <c r="R86" s="132">
        <v>0</v>
      </c>
      <c r="S86" s="132">
        <f>Table3[[#This Row],[After restock D]]-Table3[[#This Row],[Need of E]]</f>
        <v>0</v>
      </c>
      <c r="T86" s="132">
        <f>IF(Table3[[#This Row],[Before restock E]]&lt;0,0,Table3[[#This Row],[Before restock E]])</f>
        <v>0</v>
      </c>
      <c r="U86" s="132">
        <v>0</v>
      </c>
      <c r="V86" s="132">
        <f>Table3[[#This Row],[After restock E]]-Table3[[#This Row],[Need of F]]</f>
        <v>0</v>
      </c>
      <c r="W86" s="132">
        <f>IF(Table3[[#This Row],[Before restock F]]&lt;0,0,Table3[[#This Row],[Before restock F]])</f>
        <v>0</v>
      </c>
      <c r="X86" s="132">
        <v>70</v>
      </c>
      <c r="Y86" s="132">
        <f>Table3[[#This Row],[After restock F]]-Table3[[#This Row],[Need of G]]</f>
        <v>-70</v>
      </c>
      <c r="Z86" s="132">
        <f>IF(Table3[[#This Row],[Before restock G]]&lt;0,0,Table3[[#This Row],[Before restock G]])</f>
        <v>0</v>
      </c>
      <c r="AA86" s="141">
        <f>SUMIF(Table3[[#This Row],[Before restocks A]:[After restock G]],"&lt;0")</f>
        <v>-914.8</v>
      </c>
      <c r="AB86" s="133"/>
    </row>
    <row r="87" spans="1:28" s="39" customFormat="1" ht="42.75" hidden="1" customHeight="1" x14ac:dyDescent="0.3">
      <c r="A87" s="130" t="s">
        <v>499</v>
      </c>
      <c r="B87" s="88" t="s">
        <v>295</v>
      </c>
      <c r="C87" s="131" t="s">
        <v>229</v>
      </c>
      <c r="D87" s="134"/>
      <c r="E87" s="134">
        <v>3.5</v>
      </c>
      <c r="F87" s="134">
        <v>300</v>
      </c>
      <c r="G87" s="134">
        <f>Table3[[#This Row],[Begin stocks]]-Table3[[#This Row],[Need of A]]</f>
        <v>-296.5</v>
      </c>
      <c r="H87" s="134">
        <f>IF(Table3[[#This Row],[Before restocks A]]&lt;0, 0, Table3[[#This Row],[Before restocks A]])</f>
        <v>0</v>
      </c>
      <c r="I87" s="132">
        <v>1750</v>
      </c>
      <c r="J87" s="132">
        <f>Table3[[#This Row],[After restocks A]]-Table3[[#This Row],[Need of B]]</f>
        <v>-1750</v>
      </c>
      <c r="K87" s="132">
        <f>IF(Table3[[#This Row],[Before restock B]]&lt;0,0,Table3[[#This Row],[Before restock B]])</f>
        <v>0</v>
      </c>
      <c r="L87" s="132">
        <v>0</v>
      </c>
      <c r="M87" s="132">
        <f>Table3[[#This Row],[After restock B]]-Table3[[#This Row],[Need of C]]</f>
        <v>0</v>
      </c>
      <c r="N87" s="132">
        <f>IF(Table3[[#This Row],[Before restock C]]&lt;0,0,Table3[[#This Row],[Before restock C]])</f>
        <v>0</v>
      </c>
      <c r="O87" s="132">
        <v>599</v>
      </c>
      <c r="P87" s="132">
        <f>Table3[[#This Row],[After restock C]]-Table3[[#This Row],[Need of D]]</f>
        <v>-599</v>
      </c>
      <c r="Q87" s="132">
        <f>IF(Table3[[#This Row],[Before restock D]]&lt;0,0,Table3[[#This Row],[Before restock D]])</f>
        <v>0</v>
      </c>
      <c r="R87" s="132">
        <v>70</v>
      </c>
      <c r="S87" s="132">
        <f>Table3[[#This Row],[After restock D]]-Table3[[#This Row],[Need of E]]</f>
        <v>-70</v>
      </c>
      <c r="T87" s="132">
        <f>IF(Table3[[#This Row],[Before restock E]]&lt;0,0,Table3[[#This Row],[Before restock E]])</f>
        <v>0</v>
      </c>
      <c r="U87" s="132">
        <v>0</v>
      </c>
      <c r="V87" s="132">
        <f>Table3[[#This Row],[After restock E]]-Table3[[#This Row],[Need of F]]</f>
        <v>0</v>
      </c>
      <c r="W87" s="132">
        <f>IF(Table3[[#This Row],[Before restock F]]&lt;0,0,Table3[[#This Row],[Before restock F]])</f>
        <v>0</v>
      </c>
      <c r="X87" s="132">
        <v>385</v>
      </c>
      <c r="Y87" s="132">
        <f>Table3[[#This Row],[After restock F]]-Table3[[#This Row],[Need of G]]</f>
        <v>-385</v>
      </c>
      <c r="Z87" s="132">
        <f>IF(Table3[[#This Row],[Before restock G]]&lt;0,0,Table3[[#This Row],[Before restock G]])</f>
        <v>0</v>
      </c>
      <c r="AA87" s="141">
        <f>SUMIF(Table3[[#This Row],[Before restocks A]:[After restock G]],"&lt;0")</f>
        <v>-3100.5</v>
      </c>
      <c r="AB87" s="133"/>
    </row>
    <row r="88" spans="1:28" s="39" customFormat="1" ht="42.75" hidden="1" customHeight="1" x14ac:dyDescent="0.3">
      <c r="A88" s="130" t="s">
        <v>501</v>
      </c>
      <c r="B88" s="88" t="s">
        <v>293</v>
      </c>
      <c r="C88" s="131" t="s">
        <v>229</v>
      </c>
      <c r="D88" s="131"/>
      <c r="E88" s="131">
        <v>9</v>
      </c>
      <c r="F88" s="131">
        <v>300</v>
      </c>
      <c r="G88" s="131">
        <f>Table3[[#This Row],[Begin stocks]]-Table3[[#This Row],[Need of A]]</f>
        <v>-291</v>
      </c>
      <c r="H88" s="131">
        <f>IF(Table3[[#This Row],[Before restocks A]]&lt;0, 0, Table3[[#This Row],[Before restocks A]])</f>
        <v>0</v>
      </c>
      <c r="I88" s="132">
        <v>5250</v>
      </c>
      <c r="J88" s="132">
        <f>Table3[[#This Row],[After restocks A]]-Table3[[#This Row],[Need of B]]</f>
        <v>-5250</v>
      </c>
      <c r="K88" s="132">
        <f>IF(Table3[[#This Row],[Before restock B]]&lt;0,0,Table3[[#This Row],[Before restock B]])</f>
        <v>0</v>
      </c>
      <c r="L88" s="132">
        <v>180</v>
      </c>
      <c r="M88" s="132">
        <f>Table3[[#This Row],[After restock B]]-Table3[[#This Row],[Need of C]]</f>
        <v>-180</v>
      </c>
      <c r="N88" s="132">
        <f>IF(Table3[[#This Row],[Before restock C]]&lt;0,0,Table3[[#This Row],[Before restock C]])</f>
        <v>0</v>
      </c>
      <c r="O88" s="132">
        <v>1233</v>
      </c>
      <c r="P88" s="132">
        <f>Table3[[#This Row],[After restock C]]-Table3[[#This Row],[Need of D]]</f>
        <v>-1233</v>
      </c>
      <c r="Q88" s="132">
        <f>IF(Table3[[#This Row],[Before restock D]]&lt;0,0,Table3[[#This Row],[Before restock D]])</f>
        <v>0</v>
      </c>
      <c r="R88" s="132">
        <v>490</v>
      </c>
      <c r="S88" s="132">
        <f>Table3[[#This Row],[After restock D]]-Table3[[#This Row],[Need of E]]</f>
        <v>-490</v>
      </c>
      <c r="T88" s="132">
        <f>IF(Table3[[#This Row],[Before restock E]]&lt;0,0,Table3[[#This Row],[Before restock E]])</f>
        <v>0</v>
      </c>
      <c r="U88" s="132">
        <v>0</v>
      </c>
      <c r="V88" s="132">
        <f>Table3[[#This Row],[After restock E]]-Table3[[#This Row],[Need of F]]</f>
        <v>0</v>
      </c>
      <c r="W88" s="132">
        <f>IF(Table3[[#This Row],[Before restock F]]&lt;0,0,Table3[[#This Row],[Before restock F]])</f>
        <v>0</v>
      </c>
      <c r="X88" s="132">
        <v>1995</v>
      </c>
      <c r="Y88" s="132">
        <f>Table3[[#This Row],[After restock F]]-Table3[[#This Row],[Need of G]]</f>
        <v>-1995</v>
      </c>
      <c r="Z88" s="132">
        <f>IF(Table3[[#This Row],[Before restock G]]&lt;0,0,Table3[[#This Row],[Before restock G]])</f>
        <v>0</v>
      </c>
      <c r="AA88" s="141">
        <f>SUMIF(Table3[[#This Row],[Before restocks A]:[After restock G]],"&lt;0")</f>
        <v>-9439</v>
      </c>
      <c r="AB88" s="133"/>
    </row>
    <row r="89" spans="1:28" s="39" customFormat="1" ht="54.75" hidden="1" customHeight="1" x14ac:dyDescent="0.3">
      <c r="A89" s="130" t="s">
        <v>502</v>
      </c>
      <c r="B89" s="88" t="s">
        <v>292</v>
      </c>
      <c r="C89" s="131" t="s">
        <v>229</v>
      </c>
      <c r="D89" s="134"/>
      <c r="E89" s="134">
        <v>6</v>
      </c>
      <c r="F89" s="134">
        <v>225</v>
      </c>
      <c r="G89" s="134">
        <f>Table3[[#This Row],[Begin stocks]]-Table3[[#This Row],[Need of A]]</f>
        <v>-219</v>
      </c>
      <c r="H89" s="134">
        <f>IF(Table3[[#This Row],[Before restocks A]]&lt;0, 0, Table3[[#This Row],[Before restocks A]])</f>
        <v>0</v>
      </c>
      <c r="I89" s="132">
        <v>3500</v>
      </c>
      <c r="J89" s="132">
        <f>Table3[[#This Row],[After restocks A]]-Table3[[#This Row],[Need of B]]</f>
        <v>-3500</v>
      </c>
      <c r="K89" s="132">
        <f>IF(Table3[[#This Row],[Before restock B]]&lt;0,0,Table3[[#This Row],[Before restock B]])</f>
        <v>0</v>
      </c>
      <c r="L89" s="132">
        <v>90</v>
      </c>
      <c r="M89" s="132">
        <f>Table3[[#This Row],[After restock B]]-Table3[[#This Row],[Need of C]]</f>
        <v>-90</v>
      </c>
      <c r="N89" s="132">
        <f>IF(Table3[[#This Row],[Before restock C]]&lt;0,0,Table3[[#This Row],[Before restock C]])</f>
        <v>0</v>
      </c>
      <c r="O89" s="132">
        <v>634</v>
      </c>
      <c r="P89" s="132">
        <f>Table3[[#This Row],[After restock C]]-Table3[[#This Row],[Need of D]]</f>
        <v>-634</v>
      </c>
      <c r="Q89" s="132">
        <f>IF(Table3[[#This Row],[Before restock D]]&lt;0,0,Table3[[#This Row],[Before restock D]])</f>
        <v>0</v>
      </c>
      <c r="R89" s="132">
        <v>280</v>
      </c>
      <c r="S89" s="132">
        <f>Table3[[#This Row],[After restock D]]-Table3[[#This Row],[Need of E]]</f>
        <v>-280</v>
      </c>
      <c r="T89" s="132">
        <f>IF(Table3[[#This Row],[Before restock E]]&lt;0,0,Table3[[#This Row],[Before restock E]])</f>
        <v>0</v>
      </c>
      <c r="U89" s="132">
        <v>0</v>
      </c>
      <c r="V89" s="132">
        <f>Table3[[#This Row],[After restock E]]-Table3[[#This Row],[Need of F]]</f>
        <v>0</v>
      </c>
      <c r="W89" s="132">
        <f>IF(Table3[[#This Row],[Before restock F]]&lt;0,0,Table3[[#This Row],[Before restock F]])</f>
        <v>0</v>
      </c>
      <c r="X89" s="132">
        <v>1190</v>
      </c>
      <c r="Y89" s="132">
        <f>Table3[[#This Row],[After restock F]]-Table3[[#This Row],[Need of G]]</f>
        <v>-1190</v>
      </c>
      <c r="Z89" s="132">
        <f>IF(Table3[[#This Row],[Before restock G]]&lt;0,0,Table3[[#This Row],[Before restock G]])</f>
        <v>0</v>
      </c>
      <c r="AA89" s="141">
        <f>SUMIF(Table3[[#This Row],[Before restocks A]:[After restock G]],"&lt;0")</f>
        <v>-5913</v>
      </c>
      <c r="AB89" s="133"/>
    </row>
    <row r="90" spans="1:28" s="39" customFormat="1" ht="42.75" hidden="1" customHeight="1" x14ac:dyDescent="0.3">
      <c r="A90" s="130" t="s">
        <v>498</v>
      </c>
      <c r="B90" s="88" t="s">
        <v>296</v>
      </c>
      <c r="C90" s="131" t="s">
        <v>229</v>
      </c>
      <c r="D90" s="131" t="s">
        <v>262</v>
      </c>
      <c r="E90" s="131" t="s">
        <v>443</v>
      </c>
      <c r="F90" s="131">
        <v>0</v>
      </c>
      <c r="G90" s="131">
        <f>Table3[[#This Row],[Begin stocks]]-Table3[[#This Row],[Need of A]]</f>
        <v>2</v>
      </c>
      <c r="H90" s="131">
        <f>IF(Table3[[#This Row],[Before restocks A]]&lt;0, 0, Table3[[#This Row],[Before restocks A]])</f>
        <v>2</v>
      </c>
      <c r="I90" s="132">
        <v>0</v>
      </c>
      <c r="J90" s="132">
        <f>Table3[[#This Row],[After restocks A]]-Table3[[#This Row],[Need of B]]</f>
        <v>2</v>
      </c>
      <c r="K90" s="132">
        <f>IF(Table3[[#This Row],[Before restock B]]&lt;0,0,Table3[[#This Row],[Before restock B]])</f>
        <v>2</v>
      </c>
      <c r="L90" s="132">
        <v>180</v>
      </c>
      <c r="M90" s="132">
        <f>Table3[[#This Row],[After restock B]]-Table3[[#This Row],[Need of C]]</f>
        <v>-178</v>
      </c>
      <c r="N90" s="132">
        <f>IF(Table3[[#This Row],[Before restock C]]&lt;0,0,Table3[[#This Row],[Before restock C]])</f>
        <v>0</v>
      </c>
      <c r="O90" s="132">
        <v>1128</v>
      </c>
      <c r="P90" s="132">
        <f>Table3[[#This Row],[After restock C]]-Table3[[#This Row],[Need of D]]</f>
        <v>-1128</v>
      </c>
      <c r="Q90" s="132">
        <f>IF(Table3[[#This Row],[Before restock D]]&lt;0,0,Table3[[#This Row],[Before restock D]])</f>
        <v>0</v>
      </c>
      <c r="R90" s="132">
        <v>0</v>
      </c>
      <c r="S90" s="132">
        <f>Table3[[#This Row],[After restock D]]-Table3[[#This Row],[Need of E]]</f>
        <v>0</v>
      </c>
      <c r="T90" s="132">
        <f>IF(Table3[[#This Row],[Before restock E]]&lt;0,0,Table3[[#This Row],[Before restock E]])</f>
        <v>0</v>
      </c>
      <c r="U90" s="132">
        <v>0</v>
      </c>
      <c r="V90" s="132">
        <f>Table3[[#This Row],[After restock E]]-Table3[[#This Row],[Need of F]]</f>
        <v>0</v>
      </c>
      <c r="W90" s="132">
        <f>IF(Table3[[#This Row],[Before restock F]]&lt;0,0,Table3[[#This Row],[Before restock F]])</f>
        <v>0</v>
      </c>
      <c r="X90" s="132">
        <v>0</v>
      </c>
      <c r="Y90" s="132">
        <f>Table3[[#This Row],[After restock F]]-Table3[[#This Row],[Need of G]]</f>
        <v>0</v>
      </c>
      <c r="Z90" s="132">
        <f>IF(Table3[[#This Row],[Before restock G]]&lt;0,0,Table3[[#This Row],[Before restock G]])</f>
        <v>0</v>
      </c>
      <c r="AA90" s="141">
        <f>SUMIF(Table3[[#This Row],[Before restocks A]:[After restock G]],"&lt;0")</f>
        <v>-1306</v>
      </c>
      <c r="AB90" s="133"/>
    </row>
    <row r="91" spans="1:28" s="39" customFormat="1" ht="42.75" hidden="1" customHeight="1" x14ac:dyDescent="0.3">
      <c r="A91" s="130" t="s">
        <v>541</v>
      </c>
      <c r="B91" s="94" t="s">
        <v>575</v>
      </c>
      <c r="C91" s="131" t="s">
        <v>240</v>
      </c>
      <c r="D91" s="131"/>
      <c r="E91" s="131">
        <v>170</v>
      </c>
      <c r="F91" s="131">
        <v>5700</v>
      </c>
      <c r="G91" s="131">
        <f>Table3[[#This Row],[Begin stocks]]-Table3[[#This Row],[Need of A]]</f>
        <v>-5530</v>
      </c>
      <c r="H91" s="131">
        <f>IF(Table3[[#This Row],[Before restocks A]]&lt;0, 0, Table3[[#This Row],[Before restocks A]])</f>
        <v>0</v>
      </c>
      <c r="I91" s="132">
        <v>101500</v>
      </c>
      <c r="J91" s="132">
        <f>Table3[[#This Row],[After restocks A]]-Table3[[#This Row],[Need of B]]</f>
        <v>-101500</v>
      </c>
      <c r="K91" s="132">
        <f>IF(Table3[[#This Row],[Before restock B]]&lt;0,0,Table3[[#This Row],[Before restock B]])</f>
        <v>0</v>
      </c>
      <c r="L91" s="132">
        <v>3060</v>
      </c>
      <c r="M91" s="132">
        <f>Table3[[#This Row],[After restock B]]-Table3[[#This Row],[Need of C]]</f>
        <v>-3060</v>
      </c>
      <c r="N91" s="132">
        <f>IF(Table3[[#This Row],[Before restock C]]&lt;0,0,Table3[[#This Row],[Before restock C]])</f>
        <v>0</v>
      </c>
      <c r="O91" s="132">
        <v>21206</v>
      </c>
      <c r="P91" s="132">
        <f>Table3[[#This Row],[After restock C]]-Table3[[#This Row],[Need of D]]</f>
        <v>-21206</v>
      </c>
      <c r="Q91" s="132">
        <f>IF(Table3[[#This Row],[Before restock D]]&lt;0,0,Table3[[#This Row],[Before restock D]])</f>
        <v>0</v>
      </c>
      <c r="R91" s="132">
        <v>9660</v>
      </c>
      <c r="S91" s="132">
        <f>Table3[[#This Row],[After restock D]]-Table3[[#This Row],[Need of E]]</f>
        <v>-9660</v>
      </c>
      <c r="T91" s="132">
        <f>IF(Table3[[#This Row],[Before restock E]]&lt;0,0,Table3[[#This Row],[Before restock E]])</f>
        <v>0</v>
      </c>
      <c r="U91" s="132">
        <v>0</v>
      </c>
      <c r="V91" s="132">
        <f>Table3[[#This Row],[After restock E]]-Table3[[#This Row],[Need of F]]</f>
        <v>0</v>
      </c>
      <c r="W91" s="132">
        <f>IF(Table3[[#This Row],[Before restock F]]&lt;0,0,Table3[[#This Row],[Before restock F]])</f>
        <v>0</v>
      </c>
      <c r="X91" s="132">
        <v>39130</v>
      </c>
      <c r="Y91" s="132">
        <f>Table3[[#This Row],[After restock F]]-Table3[[#This Row],[Need of G]]</f>
        <v>-39130</v>
      </c>
      <c r="Z91" s="132">
        <f>IF(Table3[[#This Row],[Before restock G]]&lt;0,0,Table3[[#This Row],[Before restock G]])</f>
        <v>0</v>
      </c>
      <c r="AA91" s="141">
        <f>SUMIF(Table3[[#This Row],[Before restocks A]:[After restock G]],"&lt;0")</f>
        <v>-180086</v>
      </c>
      <c r="AB91" s="133"/>
    </row>
    <row r="92" spans="1:28" s="39" customFormat="1" ht="42.75" hidden="1" customHeight="1" x14ac:dyDescent="0.3">
      <c r="A92" s="130" t="s">
        <v>497</v>
      </c>
      <c r="B92" s="88" t="s">
        <v>298</v>
      </c>
      <c r="C92" s="131" t="s">
        <v>229</v>
      </c>
      <c r="D92" s="131"/>
      <c r="E92" s="131">
        <v>0</v>
      </c>
      <c r="F92" s="131">
        <v>0</v>
      </c>
      <c r="G92" s="131">
        <f>Table3[[#This Row],[Begin stocks]]-Table3[[#This Row],[Need of A]]</f>
        <v>0</v>
      </c>
      <c r="H92" s="131">
        <f>IF(Table3[[#This Row],[Before restocks A]]&lt;0, 0, Table3[[#This Row],[Before restocks A]])</f>
        <v>0</v>
      </c>
      <c r="I92" s="132">
        <v>7000</v>
      </c>
      <c r="J92" s="132">
        <f>Table3[[#This Row],[After restocks A]]-Table3[[#This Row],[Need of B]]</f>
        <v>-7000</v>
      </c>
      <c r="K92" s="132">
        <f>IF(Table3[[#This Row],[Before restock B]]&lt;0,0,Table3[[#This Row],[Before restock B]])</f>
        <v>0</v>
      </c>
      <c r="L92" s="132">
        <v>0</v>
      </c>
      <c r="M92" s="132">
        <f>Table3[[#This Row],[After restock B]]-Table3[[#This Row],[Need of C]]</f>
        <v>0</v>
      </c>
      <c r="N92" s="132">
        <f>IF(Table3[[#This Row],[Before restock C]]&lt;0,0,Table3[[#This Row],[Before restock C]])</f>
        <v>0</v>
      </c>
      <c r="O92" s="132">
        <v>140</v>
      </c>
      <c r="P92" s="132">
        <f>Table3[[#This Row],[After restock C]]-Table3[[#This Row],[Need of D]]</f>
        <v>-140</v>
      </c>
      <c r="Q92" s="132">
        <f>IF(Table3[[#This Row],[Before restock D]]&lt;0,0,Table3[[#This Row],[Before restock D]])</f>
        <v>0</v>
      </c>
      <c r="R92" s="132">
        <v>0</v>
      </c>
      <c r="S92" s="132">
        <f>Table3[[#This Row],[After restock D]]-Table3[[#This Row],[Need of E]]</f>
        <v>0</v>
      </c>
      <c r="T92" s="132">
        <f>IF(Table3[[#This Row],[Before restock E]]&lt;0,0,Table3[[#This Row],[Before restock E]])</f>
        <v>0</v>
      </c>
      <c r="U92" s="132">
        <v>0</v>
      </c>
      <c r="V92" s="132">
        <f>Table3[[#This Row],[After restock E]]-Table3[[#This Row],[Need of F]]</f>
        <v>0</v>
      </c>
      <c r="W92" s="132">
        <f>IF(Table3[[#This Row],[Before restock F]]&lt;0,0,Table3[[#This Row],[Before restock F]])</f>
        <v>0</v>
      </c>
      <c r="X92" s="132">
        <v>700</v>
      </c>
      <c r="Y92" s="132">
        <f>Table3[[#This Row],[After restock F]]-Table3[[#This Row],[Need of G]]</f>
        <v>-700</v>
      </c>
      <c r="Z92" s="132">
        <f>IF(Table3[[#This Row],[Before restock G]]&lt;0,0,Table3[[#This Row],[Before restock G]])</f>
        <v>0</v>
      </c>
      <c r="AA92" s="141">
        <f>SUMIF(Table3[[#This Row],[Before restocks A]:[After restock G]],"&lt;0")</f>
        <v>-7840</v>
      </c>
      <c r="AB92" s="133"/>
    </row>
    <row r="93" spans="1:28" s="39" customFormat="1" ht="42.75" hidden="1" customHeight="1" x14ac:dyDescent="0.3">
      <c r="A93" s="130" t="s">
        <v>500</v>
      </c>
      <c r="B93" s="88" t="s">
        <v>294</v>
      </c>
      <c r="C93" s="131" t="s">
        <v>229</v>
      </c>
      <c r="D93" s="134"/>
      <c r="E93" s="134">
        <v>7</v>
      </c>
      <c r="F93" s="134">
        <v>150</v>
      </c>
      <c r="G93" s="134">
        <f>Table3[[#This Row],[Begin stocks]]-Table3[[#This Row],[Need of A]]</f>
        <v>-143</v>
      </c>
      <c r="H93" s="134">
        <f>IF(Table3[[#This Row],[Before restocks A]]&lt;0, 0, Table3[[#This Row],[Before restocks A]])</f>
        <v>0</v>
      </c>
      <c r="I93" s="132">
        <v>5250</v>
      </c>
      <c r="J93" s="132">
        <f>Table3[[#This Row],[After restocks A]]-Table3[[#This Row],[Need of B]]</f>
        <v>-5250</v>
      </c>
      <c r="K93" s="132">
        <f>IF(Table3[[#This Row],[Before restock B]]&lt;0,0,Table3[[#This Row],[Before restock B]])</f>
        <v>0</v>
      </c>
      <c r="L93" s="132">
        <v>180</v>
      </c>
      <c r="M93" s="132">
        <f>Table3[[#This Row],[After restock B]]-Table3[[#This Row],[Need of C]]</f>
        <v>-180</v>
      </c>
      <c r="N93" s="132">
        <f>IF(Table3[[#This Row],[Before restock C]]&lt;0,0,Table3[[#This Row],[Before restock C]])</f>
        <v>0</v>
      </c>
      <c r="O93" s="132">
        <v>1233</v>
      </c>
      <c r="P93" s="132">
        <f>Table3[[#This Row],[After restock C]]-Table3[[#This Row],[Need of D]]</f>
        <v>-1233</v>
      </c>
      <c r="Q93" s="132">
        <f>IF(Table3[[#This Row],[Before restock D]]&lt;0,0,Table3[[#This Row],[Before restock D]])</f>
        <v>0</v>
      </c>
      <c r="R93" s="132">
        <v>350</v>
      </c>
      <c r="S93" s="132">
        <f>Table3[[#This Row],[After restock D]]-Table3[[#This Row],[Need of E]]</f>
        <v>-350</v>
      </c>
      <c r="T93" s="132">
        <f>IF(Table3[[#This Row],[Before restock E]]&lt;0,0,Table3[[#This Row],[Before restock E]])</f>
        <v>0</v>
      </c>
      <c r="U93" s="132">
        <v>0</v>
      </c>
      <c r="V93" s="132">
        <f>Table3[[#This Row],[After restock E]]-Table3[[#This Row],[Need of F]]</f>
        <v>0</v>
      </c>
      <c r="W93" s="132">
        <f>IF(Table3[[#This Row],[Before restock F]]&lt;0,0,Table3[[#This Row],[Before restock F]])</f>
        <v>0</v>
      </c>
      <c r="X93" s="132">
        <v>1575</v>
      </c>
      <c r="Y93" s="132">
        <f>Table3[[#This Row],[After restock F]]-Table3[[#This Row],[Need of G]]</f>
        <v>-1575</v>
      </c>
      <c r="Z93" s="132">
        <f>IF(Table3[[#This Row],[Before restock G]]&lt;0,0,Table3[[#This Row],[Before restock G]])</f>
        <v>0</v>
      </c>
      <c r="AA93" s="141">
        <f>SUMIF(Table3[[#This Row],[Before restocks A]:[After restock G]],"&lt;0")</f>
        <v>-8731</v>
      </c>
      <c r="AB93" s="133"/>
    </row>
    <row r="94" spans="1:28" s="39" customFormat="1" ht="42.75" hidden="1" customHeight="1" x14ac:dyDescent="0.3">
      <c r="A94" s="130" t="s">
        <v>505</v>
      </c>
      <c r="B94" s="88" t="s">
        <v>289</v>
      </c>
      <c r="C94" s="131" t="s">
        <v>229</v>
      </c>
      <c r="D94" s="131"/>
      <c r="E94" s="131">
        <v>0</v>
      </c>
      <c r="F94" s="131">
        <v>0</v>
      </c>
      <c r="G94" s="131">
        <f>Table3[[#This Row],[Begin stocks]]-Table3[[#This Row],[Need of A]]</f>
        <v>0</v>
      </c>
      <c r="H94" s="131">
        <f>IF(Table3[[#This Row],[Before restocks A]]&lt;0, 0, Table3[[#This Row],[Before restocks A]])</f>
        <v>0</v>
      </c>
      <c r="I94" s="132">
        <v>1050</v>
      </c>
      <c r="J94" s="132">
        <f>Table3[[#This Row],[After restocks A]]-Table3[[#This Row],[Need of B]]</f>
        <v>-1050</v>
      </c>
      <c r="K94" s="132">
        <f>IF(Table3[[#This Row],[Before restock B]]&lt;0,0,Table3[[#This Row],[Before restock B]])</f>
        <v>0</v>
      </c>
      <c r="L94" s="132">
        <v>36.000000000000007</v>
      </c>
      <c r="M94" s="132">
        <f>Table3[[#This Row],[After restock B]]-Table3[[#This Row],[Need of C]]</f>
        <v>-36.000000000000007</v>
      </c>
      <c r="N94" s="132">
        <f>IF(Table3[[#This Row],[Before restock C]]&lt;0,0,Table3[[#This Row],[Before restock C]])</f>
        <v>0</v>
      </c>
      <c r="O94" s="132">
        <v>246.60000000000002</v>
      </c>
      <c r="P94" s="132">
        <f>Table3[[#This Row],[After restock C]]-Table3[[#This Row],[Need of D]]</f>
        <v>-246.60000000000002</v>
      </c>
      <c r="Q94" s="132">
        <f>IF(Table3[[#This Row],[Before restock D]]&lt;0,0,Table3[[#This Row],[Before restock D]])</f>
        <v>0</v>
      </c>
      <c r="R94" s="132">
        <v>0</v>
      </c>
      <c r="S94" s="132">
        <f>Table3[[#This Row],[After restock D]]-Table3[[#This Row],[Need of E]]</f>
        <v>0</v>
      </c>
      <c r="T94" s="132">
        <f>IF(Table3[[#This Row],[Before restock E]]&lt;0,0,Table3[[#This Row],[Before restock E]])</f>
        <v>0</v>
      </c>
      <c r="U94" s="132">
        <v>0</v>
      </c>
      <c r="V94" s="132">
        <f>Table3[[#This Row],[After restock E]]-Table3[[#This Row],[Need of F]]</f>
        <v>0</v>
      </c>
      <c r="W94" s="132">
        <f>IF(Table3[[#This Row],[Before restock F]]&lt;0,0,Table3[[#This Row],[Before restock F]])</f>
        <v>0</v>
      </c>
      <c r="X94" s="132">
        <v>105</v>
      </c>
      <c r="Y94" s="132">
        <f>Table3[[#This Row],[After restock F]]-Table3[[#This Row],[Need of G]]</f>
        <v>-105</v>
      </c>
      <c r="Z94" s="132">
        <f>IF(Table3[[#This Row],[Before restock G]]&lt;0,0,Table3[[#This Row],[Before restock G]])</f>
        <v>0</v>
      </c>
      <c r="AA94" s="141">
        <f>SUMIF(Table3[[#This Row],[Before restocks A]:[After restock G]],"&lt;0")</f>
        <v>-1437.6</v>
      </c>
      <c r="AB94" s="133"/>
    </row>
    <row r="95" spans="1:28" s="39" customFormat="1" ht="42.75" hidden="1" customHeight="1" x14ac:dyDescent="0.3">
      <c r="A95" s="130" t="s">
        <v>514</v>
      </c>
      <c r="B95" s="93" t="s">
        <v>568</v>
      </c>
      <c r="C95" s="131" t="s">
        <v>229</v>
      </c>
      <c r="D95" s="134"/>
      <c r="E95" s="134">
        <v>252</v>
      </c>
      <c r="F95" s="134">
        <v>0</v>
      </c>
      <c r="G95" s="134">
        <f>Table3[[#This Row],[Begin stocks]]-Table3[[#This Row],[Need of A]]</f>
        <v>252</v>
      </c>
      <c r="H95" s="134">
        <f>IF(Table3[[#This Row],[Before restocks A]]&lt;0, 0, Table3[[#This Row],[Before restocks A]])</f>
        <v>252</v>
      </c>
      <c r="I95" s="132">
        <v>336000</v>
      </c>
      <c r="J95" s="132">
        <f>Table3[[#This Row],[After restocks A]]-Table3[[#This Row],[Need of B]]</f>
        <v>-335748</v>
      </c>
      <c r="K95" s="132">
        <f>IF(Table3[[#This Row],[Before restock B]]&lt;0,0,Table3[[#This Row],[Before restock B]])</f>
        <v>0</v>
      </c>
      <c r="L95" s="132">
        <v>15300</v>
      </c>
      <c r="M95" s="132">
        <f>Table3[[#This Row],[After restock B]]-Table3[[#This Row],[Need of C]]</f>
        <v>-15300</v>
      </c>
      <c r="N95" s="132">
        <f>IF(Table3[[#This Row],[Before restock C]]&lt;0,0,Table3[[#This Row],[Before restock C]])</f>
        <v>0</v>
      </c>
      <c r="O95" s="132">
        <v>86808</v>
      </c>
      <c r="P95" s="132">
        <f>Table3[[#This Row],[After restock C]]-Table3[[#This Row],[Need of D]]</f>
        <v>-86808</v>
      </c>
      <c r="Q95" s="132">
        <f>IF(Table3[[#This Row],[Before restock D]]&lt;0,0,Table3[[#This Row],[Before restock D]])</f>
        <v>0</v>
      </c>
      <c r="R95" s="132">
        <v>0</v>
      </c>
      <c r="S95" s="132">
        <f>Table3[[#This Row],[After restock D]]-Table3[[#This Row],[Need of E]]</f>
        <v>0</v>
      </c>
      <c r="T95" s="132">
        <f>IF(Table3[[#This Row],[Before restock E]]&lt;0,0,Table3[[#This Row],[Before restock E]])</f>
        <v>0</v>
      </c>
      <c r="U95" s="132">
        <v>0</v>
      </c>
      <c r="V95" s="132">
        <f>Table3[[#This Row],[After restock E]]-Table3[[#This Row],[Need of F]]</f>
        <v>0</v>
      </c>
      <c r="W95" s="132">
        <f>IF(Table3[[#This Row],[Before restock F]]&lt;0,0,Table3[[#This Row],[Before restock F]])</f>
        <v>0</v>
      </c>
      <c r="X95" s="132">
        <v>33600</v>
      </c>
      <c r="Y95" s="132">
        <f>Table3[[#This Row],[After restock F]]-Table3[[#This Row],[Need of G]]</f>
        <v>-33600</v>
      </c>
      <c r="Z95" s="132">
        <f>IF(Table3[[#This Row],[Before restock G]]&lt;0,0,Table3[[#This Row],[Before restock G]])</f>
        <v>0</v>
      </c>
      <c r="AA95" s="141">
        <f>SUMIF(Table3[[#This Row],[Before restocks A]:[After restock G]],"&lt;0")</f>
        <v>-471456</v>
      </c>
      <c r="AB95" s="133"/>
    </row>
    <row r="96" spans="1:28" s="39" customFormat="1" ht="42.75" hidden="1" customHeight="1" x14ac:dyDescent="0.3">
      <c r="A96" s="130" t="s">
        <v>515</v>
      </c>
      <c r="B96" s="93" t="s">
        <v>279</v>
      </c>
      <c r="C96" s="131" t="s">
        <v>229</v>
      </c>
      <c r="D96" s="134"/>
      <c r="E96" s="134">
        <v>210</v>
      </c>
      <c r="F96" s="134">
        <v>0</v>
      </c>
      <c r="G96" s="134">
        <f>Table3[[#This Row],[Begin stocks]]-Table3[[#This Row],[Need of A]]</f>
        <v>210</v>
      </c>
      <c r="H96" s="134">
        <f>IF(Table3[[#This Row],[Before restocks A]]&lt;0, 0, Table3[[#This Row],[Before restocks A]])</f>
        <v>210</v>
      </c>
      <c r="I96" s="132">
        <v>245000</v>
      </c>
      <c r="J96" s="132">
        <f>Table3[[#This Row],[After restocks A]]-Table3[[#This Row],[Need of B]]</f>
        <v>-244790</v>
      </c>
      <c r="K96" s="132">
        <f>IF(Table3[[#This Row],[Before restock B]]&lt;0,0,Table3[[#This Row],[Before restock B]])</f>
        <v>0</v>
      </c>
      <c r="L96" s="132">
        <v>12600</v>
      </c>
      <c r="M96" s="132">
        <f>Table3[[#This Row],[After restock B]]-Table3[[#This Row],[Need of C]]</f>
        <v>-12600</v>
      </c>
      <c r="N96" s="132">
        <f>IF(Table3[[#This Row],[Before restock C]]&lt;0,0,Table3[[#This Row],[Before restock C]])</f>
        <v>0</v>
      </c>
      <c r="O96" s="132">
        <v>83860</v>
      </c>
      <c r="P96" s="132">
        <f>Table3[[#This Row],[After restock C]]-Table3[[#This Row],[Need of D]]</f>
        <v>-83860</v>
      </c>
      <c r="Q96" s="132">
        <f>IF(Table3[[#This Row],[Before restock D]]&lt;0,0,Table3[[#This Row],[Before restock D]])</f>
        <v>0</v>
      </c>
      <c r="R96" s="132">
        <v>0</v>
      </c>
      <c r="S96" s="132">
        <f>Table3[[#This Row],[After restock D]]-Table3[[#This Row],[Need of E]]</f>
        <v>0</v>
      </c>
      <c r="T96" s="132">
        <f>IF(Table3[[#This Row],[Before restock E]]&lt;0,0,Table3[[#This Row],[Before restock E]])</f>
        <v>0</v>
      </c>
      <c r="U96" s="132">
        <v>0</v>
      </c>
      <c r="V96" s="132">
        <f>Table3[[#This Row],[After restock E]]-Table3[[#This Row],[Need of F]]</f>
        <v>0</v>
      </c>
      <c r="W96" s="132">
        <f>IF(Table3[[#This Row],[Before restock F]]&lt;0,0,Table3[[#This Row],[Before restock F]])</f>
        <v>0</v>
      </c>
      <c r="X96" s="132">
        <v>24500</v>
      </c>
      <c r="Y96" s="132">
        <f>Table3[[#This Row],[After restock F]]-Table3[[#This Row],[Need of G]]</f>
        <v>-24500</v>
      </c>
      <c r="Z96" s="132">
        <f>IF(Table3[[#This Row],[Before restock G]]&lt;0,0,Table3[[#This Row],[Before restock G]])</f>
        <v>0</v>
      </c>
      <c r="AA96" s="141">
        <f>SUMIF(Table3[[#This Row],[Before restocks A]:[After restock G]],"&lt;0")</f>
        <v>-365750</v>
      </c>
      <c r="AB96" s="133"/>
    </row>
    <row r="97" spans="1:28" s="39" customFormat="1" ht="42.75" hidden="1" customHeight="1" x14ac:dyDescent="0.3">
      <c r="A97" s="130" t="s">
        <v>512</v>
      </c>
      <c r="B97" s="93" t="s">
        <v>282</v>
      </c>
      <c r="C97" s="131" t="s">
        <v>229</v>
      </c>
      <c r="D97" s="131"/>
      <c r="E97" s="131">
        <v>51</v>
      </c>
      <c r="F97" s="131">
        <v>0</v>
      </c>
      <c r="G97" s="131">
        <f>Table3[[#This Row],[Begin stocks]]-Table3[[#This Row],[Need of A]]</f>
        <v>51</v>
      </c>
      <c r="H97" s="131">
        <f>IF(Table3[[#This Row],[Before restocks A]]&lt;0, 0, Table3[[#This Row],[Before restocks A]])</f>
        <v>51</v>
      </c>
      <c r="I97" s="132">
        <v>28000</v>
      </c>
      <c r="J97" s="132">
        <f>Table3[[#This Row],[After restocks A]]-Table3[[#This Row],[Need of B]]</f>
        <v>-27949</v>
      </c>
      <c r="K97" s="132">
        <f>IF(Table3[[#This Row],[Before restock B]]&lt;0,0,Table3[[#This Row],[Before restock B]])</f>
        <v>0</v>
      </c>
      <c r="L97" s="132">
        <v>4140</v>
      </c>
      <c r="M97" s="132">
        <f>Table3[[#This Row],[After restock B]]-Table3[[#This Row],[Need of C]]</f>
        <v>-4140</v>
      </c>
      <c r="N97" s="132">
        <f>IF(Table3[[#This Row],[Before restock C]]&lt;0,0,Table3[[#This Row],[Before restock C]])</f>
        <v>0</v>
      </c>
      <c r="O97" s="132">
        <v>23120</v>
      </c>
      <c r="P97" s="132">
        <f>Table3[[#This Row],[After restock C]]-Table3[[#This Row],[Need of D]]</f>
        <v>-23120</v>
      </c>
      <c r="Q97" s="132">
        <f>IF(Table3[[#This Row],[Before restock D]]&lt;0,0,Table3[[#This Row],[Before restock D]])</f>
        <v>0</v>
      </c>
      <c r="R97" s="132">
        <v>0</v>
      </c>
      <c r="S97" s="132">
        <f>Table3[[#This Row],[After restock D]]-Table3[[#This Row],[Need of E]]</f>
        <v>0</v>
      </c>
      <c r="T97" s="132">
        <f>IF(Table3[[#This Row],[Before restock E]]&lt;0,0,Table3[[#This Row],[Before restock E]])</f>
        <v>0</v>
      </c>
      <c r="U97" s="132">
        <v>0</v>
      </c>
      <c r="V97" s="132">
        <f>Table3[[#This Row],[After restock E]]-Table3[[#This Row],[Need of F]]</f>
        <v>0</v>
      </c>
      <c r="W97" s="132">
        <f>IF(Table3[[#This Row],[Before restock F]]&lt;0,0,Table3[[#This Row],[Before restock F]])</f>
        <v>0</v>
      </c>
      <c r="X97" s="132">
        <v>2800</v>
      </c>
      <c r="Y97" s="132">
        <f>Table3[[#This Row],[After restock F]]-Table3[[#This Row],[Need of G]]</f>
        <v>-2800</v>
      </c>
      <c r="Z97" s="132">
        <f>IF(Table3[[#This Row],[Before restock G]]&lt;0,0,Table3[[#This Row],[Before restock G]])</f>
        <v>0</v>
      </c>
      <c r="AA97" s="141">
        <f>SUMIF(Table3[[#This Row],[Before restocks A]:[After restock G]],"&lt;0")</f>
        <v>-58009</v>
      </c>
      <c r="AB97" s="133"/>
    </row>
    <row r="98" spans="1:28" s="39" customFormat="1" ht="42.75" hidden="1" customHeight="1" x14ac:dyDescent="0.3">
      <c r="A98" s="130" t="s">
        <v>513</v>
      </c>
      <c r="B98" s="93" t="s">
        <v>567</v>
      </c>
      <c r="C98" s="131" t="s">
        <v>229</v>
      </c>
      <c r="D98" s="134"/>
      <c r="E98" s="134">
        <v>245</v>
      </c>
      <c r="F98" s="134">
        <v>0</v>
      </c>
      <c r="G98" s="134">
        <f>Table3[[#This Row],[Begin stocks]]-Table3[[#This Row],[Need of A]]</f>
        <v>245</v>
      </c>
      <c r="H98" s="134">
        <f>IF(Table3[[#This Row],[Before restocks A]]&lt;0, 0, Table3[[#This Row],[Before restocks A]])</f>
        <v>245</v>
      </c>
      <c r="I98" s="132">
        <v>357000</v>
      </c>
      <c r="J98" s="132">
        <f>Table3[[#This Row],[After restocks A]]-Table3[[#This Row],[Need of B]]</f>
        <v>-356755</v>
      </c>
      <c r="K98" s="132">
        <f>IF(Table3[[#This Row],[Before restock B]]&lt;0,0,Table3[[#This Row],[Before restock B]])</f>
        <v>0</v>
      </c>
      <c r="L98" s="132">
        <v>12600</v>
      </c>
      <c r="M98" s="132">
        <f>Table3[[#This Row],[After restock B]]-Table3[[#This Row],[Need of C]]</f>
        <v>-12600</v>
      </c>
      <c r="N98" s="132">
        <f>IF(Table3[[#This Row],[Before restock C]]&lt;0,0,Table3[[#This Row],[Before restock C]])</f>
        <v>0</v>
      </c>
      <c r="O98" s="132">
        <v>89484</v>
      </c>
      <c r="P98" s="132">
        <f>Table3[[#This Row],[After restock C]]-Table3[[#This Row],[Need of D]]</f>
        <v>-89484</v>
      </c>
      <c r="Q98" s="132">
        <f>IF(Table3[[#This Row],[Before restock D]]&lt;0,0,Table3[[#This Row],[Before restock D]])</f>
        <v>0</v>
      </c>
      <c r="R98" s="132">
        <v>0</v>
      </c>
      <c r="S98" s="132">
        <f>Table3[[#This Row],[After restock D]]-Table3[[#This Row],[Need of E]]</f>
        <v>0</v>
      </c>
      <c r="T98" s="132">
        <f>IF(Table3[[#This Row],[Before restock E]]&lt;0,0,Table3[[#This Row],[Before restock E]])</f>
        <v>0</v>
      </c>
      <c r="U98" s="132">
        <v>0</v>
      </c>
      <c r="V98" s="132">
        <f>Table3[[#This Row],[After restock E]]-Table3[[#This Row],[Need of F]]</f>
        <v>0</v>
      </c>
      <c r="W98" s="132">
        <f>IF(Table3[[#This Row],[Before restock F]]&lt;0,0,Table3[[#This Row],[Before restock F]])</f>
        <v>0</v>
      </c>
      <c r="X98" s="132">
        <v>35700</v>
      </c>
      <c r="Y98" s="132">
        <f>Table3[[#This Row],[After restock F]]-Table3[[#This Row],[Need of G]]</f>
        <v>-35700</v>
      </c>
      <c r="Z98" s="132">
        <f>IF(Table3[[#This Row],[Before restock G]]&lt;0,0,Table3[[#This Row],[Before restock G]])</f>
        <v>0</v>
      </c>
      <c r="AA98" s="141">
        <f>SUMIF(Table3[[#This Row],[Before restocks A]:[After restock G]],"&lt;0")</f>
        <v>-494539</v>
      </c>
      <c r="AB98" s="133"/>
    </row>
    <row r="99" spans="1:28" s="39" customFormat="1" ht="42.75" hidden="1" customHeight="1" x14ac:dyDescent="0.3">
      <c r="A99" s="130" t="s">
        <v>511</v>
      </c>
      <c r="B99" s="93" t="s">
        <v>283</v>
      </c>
      <c r="C99" s="131" t="s">
        <v>229</v>
      </c>
      <c r="D99" s="131"/>
      <c r="E99" s="131">
        <v>230</v>
      </c>
      <c r="F99" s="131">
        <v>0</v>
      </c>
      <c r="G99" s="131">
        <f>Table3[[#This Row],[Begin stocks]]-Table3[[#This Row],[Need of A]]</f>
        <v>230</v>
      </c>
      <c r="H99" s="131">
        <f>IF(Table3[[#This Row],[Before restocks A]]&lt;0, 0, Table3[[#This Row],[Before restocks A]])</f>
        <v>230</v>
      </c>
      <c r="I99" s="132">
        <v>287000</v>
      </c>
      <c r="J99" s="132">
        <f>Table3[[#This Row],[After restocks A]]-Table3[[#This Row],[Need of B]]</f>
        <v>-286770</v>
      </c>
      <c r="K99" s="132">
        <f>IF(Table3[[#This Row],[Before restock B]]&lt;0,0,Table3[[#This Row],[Before restock B]])</f>
        <v>0</v>
      </c>
      <c r="L99" s="132">
        <v>13320</v>
      </c>
      <c r="M99" s="132">
        <f>Table3[[#This Row],[After restock B]]-Table3[[#This Row],[Need of C]]</f>
        <v>-13320</v>
      </c>
      <c r="N99" s="132">
        <f>IF(Table3[[#This Row],[Before restock C]]&lt;0,0,Table3[[#This Row],[Before restock C]])</f>
        <v>0</v>
      </c>
      <c r="O99" s="132">
        <v>89212</v>
      </c>
      <c r="P99" s="132">
        <f>Table3[[#This Row],[After restock C]]-Table3[[#This Row],[Need of D]]</f>
        <v>-89212</v>
      </c>
      <c r="Q99" s="132">
        <f>IF(Table3[[#This Row],[Before restock D]]&lt;0,0,Table3[[#This Row],[Before restock D]])</f>
        <v>0</v>
      </c>
      <c r="R99" s="132">
        <v>0</v>
      </c>
      <c r="S99" s="132">
        <f>Table3[[#This Row],[After restock D]]-Table3[[#This Row],[Need of E]]</f>
        <v>0</v>
      </c>
      <c r="T99" s="132">
        <f>IF(Table3[[#This Row],[Before restock E]]&lt;0,0,Table3[[#This Row],[Before restock E]])</f>
        <v>0</v>
      </c>
      <c r="U99" s="132">
        <v>0</v>
      </c>
      <c r="V99" s="132">
        <f>Table3[[#This Row],[After restock E]]-Table3[[#This Row],[Need of F]]</f>
        <v>0</v>
      </c>
      <c r="W99" s="132">
        <f>IF(Table3[[#This Row],[Before restock F]]&lt;0,0,Table3[[#This Row],[Before restock F]])</f>
        <v>0</v>
      </c>
      <c r="X99" s="132">
        <v>28700</v>
      </c>
      <c r="Y99" s="132">
        <f>Table3[[#This Row],[After restock F]]-Table3[[#This Row],[Need of G]]</f>
        <v>-28700</v>
      </c>
      <c r="Z99" s="132">
        <f>IF(Table3[[#This Row],[Before restock G]]&lt;0,0,Table3[[#This Row],[Before restock G]])</f>
        <v>0</v>
      </c>
      <c r="AA99" s="141">
        <f>SUMIF(Table3[[#This Row],[Before restocks A]:[After restock G]],"&lt;0")</f>
        <v>-418002</v>
      </c>
      <c r="AB99" s="133"/>
    </row>
    <row r="100" spans="1:28" s="39" customFormat="1" ht="42.75" hidden="1" customHeight="1" x14ac:dyDescent="0.3">
      <c r="A100" s="130" t="s">
        <v>522</v>
      </c>
      <c r="B100" s="93" t="s">
        <v>272</v>
      </c>
      <c r="C100" s="131" t="s">
        <v>229</v>
      </c>
      <c r="D100" s="131"/>
      <c r="E100" s="131">
        <v>16</v>
      </c>
      <c r="F100" s="131">
        <v>0</v>
      </c>
      <c r="G100" s="131">
        <f>Table3[[#This Row],[Begin stocks]]-Table3[[#This Row],[Need of A]]</f>
        <v>16</v>
      </c>
      <c r="H100" s="131">
        <f>IF(Table3[[#This Row],[Before restocks A]]&lt;0, 0, Table3[[#This Row],[Before restocks A]])</f>
        <v>16</v>
      </c>
      <c r="I100" s="132">
        <v>28000</v>
      </c>
      <c r="J100" s="132">
        <f>Table3[[#This Row],[After restocks A]]-Table3[[#This Row],[Need of B]]</f>
        <v>-27984</v>
      </c>
      <c r="K100" s="132">
        <f>IF(Table3[[#This Row],[Before restock B]]&lt;0,0,Table3[[#This Row],[Before restock B]])</f>
        <v>0</v>
      </c>
      <c r="L100" s="132">
        <v>720</v>
      </c>
      <c r="M100" s="132">
        <f>Table3[[#This Row],[After restock B]]-Table3[[#This Row],[Need of C]]</f>
        <v>-720</v>
      </c>
      <c r="N100" s="132">
        <f>IF(Table3[[#This Row],[Before restock C]]&lt;0,0,Table3[[#This Row],[Before restock C]])</f>
        <v>0</v>
      </c>
      <c r="O100" s="132">
        <v>5072</v>
      </c>
      <c r="P100" s="132">
        <f>Table3[[#This Row],[After restock C]]-Table3[[#This Row],[Need of D]]</f>
        <v>-5072</v>
      </c>
      <c r="Q100" s="132">
        <f>IF(Table3[[#This Row],[Before restock D]]&lt;0,0,Table3[[#This Row],[Before restock D]])</f>
        <v>0</v>
      </c>
      <c r="R100" s="132">
        <v>0</v>
      </c>
      <c r="S100" s="132">
        <f>Table3[[#This Row],[After restock D]]-Table3[[#This Row],[Need of E]]</f>
        <v>0</v>
      </c>
      <c r="T100" s="132">
        <f>IF(Table3[[#This Row],[Before restock E]]&lt;0,0,Table3[[#This Row],[Before restock E]])</f>
        <v>0</v>
      </c>
      <c r="U100" s="132">
        <v>0</v>
      </c>
      <c r="V100" s="132">
        <f>Table3[[#This Row],[After restock E]]-Table3[[#This Row],[Need of F]]</f>
        <v>0</v>
      </c>
      <c r="W100" s="132">
        <f>IF(Table3[[#This Row],[Before restock F]]&lt;0,0,Table3[[#This Row],[Before restock F]])</f>
        <v>0</v>
      </c>
      <c r="X100" s="132">
        <v>2800</v>
      </c>
      <c r="Y100" s="132">
        <f>Table3[[#This Row],[After restock F]]-Table3[[#This Row],[Need of G]]</f>
        <v>-2800</v>
      </c>
      <c r="Z100" s="132">
        <f>IF(Table3[[#This Row],[Before restock G]]&lt;0,0,Table3[[#This Row],[Before restock G]])</f>
        <v>0</v>
      </c>
      <c r="AA100" s="141">
        <f>SUMIF(Table3[[#This Row],[Before restocks A]:[After restock G]],"&lt;0")</f>
        <v>-36576</v>
      </c>
      <c r="AB100" s="133"/>
    </row>
    <row r="101" spans="1:28" s="39" customFormat="1" ht="42.75" hidden="1" customHeight="1" x14ac:dyDescent="0.3">
      <c r="A101" s="130" t="s">
        <v>546</v>
      </c>
      <c r="B101" s="93" t="s">
        <v>566</v>
      </c>
      <c r="C101" s="131" t="s">
        <v>229</v>
      </c>
      <c r="D101" s="131"/>
      <c r="E101" s="131">
        <v>570</v>
      </c>
      <c r="F101" s="131">
        <v>27000</v>
      </c>
      <c r="G101" s="131">
        <f>Table3[[#This Row],[Begin stocks]]-Table3[[#This Row],[Need of A]]</f>
        <v>-26430</v>
      </c>
      <c r="H101" s="131">
        <f>IF(Table3[[#This Row],[Before restocks A]]&lt;0, 0, Table3[[#This Row],[Before restocks A]])</f>
        <v>0</v>
      </c>
      <c r="I101" s="132">
        <v>420000</v>
      </c>
      <c r="J101" s="132">
        <f>Table3[[#This Row],[After restocks A]]-Table3[[#This Row],[Need of B]]</f>
        <v>-420000</v>
      </c>
      <c r="K101" s="132">
        <f>IF(Table3[[#This Row],[Before restock B]]&lt;0,0,Table3[[#This Row],[Before restock B]])</f>
        <v>0</v>
      </c>
      <c r="L101" s="132">
        <v>10800</v>
      </c>
      <c r="M101" s="132">
        <f>Table3[[#This Row],[After restock B]]-Table3[[#This Row],[Need of C]]</f>
        <v>-10800</v>
      </c>
      <c r="N101" s="132">
        <f>IF(Table3[[#This Row],[Before restock C]]&lt;0,0,Table3[[#This Row],[Before restock C]])</f>
        <v>0</v>
      </c>
      <c r="O101" s="132">
        <v>76080</v>
      </c>
      <c r="P101" s="132">
        <f>Table3[[#This Row],[After restock C]]-Table3[[#This Row],[Need of D]]</f>
        <v>-76080</v>
      </c>
      <c r="Q101" s="132">
        <f>IF(Table3[[#This Row],[Before restock D]]&lt;0,0,Table3[[#This Row],[Before restock D]])</f>
        <v>0</v>
      </c>
      <c r="R101" s="132">
        <v>16800</v>
      </c>
      <c r="S101" s="132">
        <f>Table3[[#This Row],[After restock D]]-Table3[[#This Row],[Need of E]]</f>
        <v>-16800</v>
      </c>
      <c r="T101" s="132">
        <f>IF(Table3[[#This Row],[Before restock E]]&lt;0,0,Table3[[#This Row],[Before restock E]])</f>
        <v>0</v>
      </c>
      <c r="U101" s="132">
        <v>0</v>
      </c>
      <c r="V101" s="132">
        <f>Table3[[#This Row],[After restock E]]-Table3[[#This Row],[Need of F]]</f>
        <v>0</v>
      </c>
      <c r="W101" s="132">
        <f>IF(Table3[[#This Row],[Before restock F]]&lt;0,0,Table3[[#This Row],[Before restock F]])</f>
        <v>0</v>
      </c>
      <c r="X101" s="132">
        <v>92400</v>
      </c>
      <c r="Y101" s="132">
        <f>Table3[[#This Row],[After restock F]]-Table3[[#This Row],[Need of G]]</f>
        <v>-92400</v>
      </c>
      <c r="Z101" s="132">
        <f>IF(Table3[[#This Row],[Before restock G]]&lt;0,0,Table3[[#This Row],[Before restock G]])</f>
        <v>0</v>
      </c>
      <c r="AA101" s="141">
        <f>SUMIF(Table3[[#This Row],[Before restocks A]:[After restock G]],"&lt;0")</f>
        <v>-642510</v>
      </c>
      <c r="AB101" s="133"/>
    </row>
    <row r="102" spans="1:28" s="39" customFormat="1" ht="42.75" hidden="1" customHeight="1" x14ac:dyDescent="0.3">
      <c r="A102" s="130" t="s">
        <v>516</v>
      </c>
      <c r="B102" s="93" t="s">
        <v>278</v>
      </c>
      <c r="C102" s="131" t="s">
        <v>229</v>
      </c>
      <c r="D102" s="134"/>
      <c r="E102" s="134">
        <v>13</v>
      </c>
      <c r="F102" s="134">
        <v>0</v>
      </c>
      <c r="G102" s="134">
        <f>Table3[[#This Row],[Begin stocks]]-Table3[[#This Row],[Need of A]]</f>
        <v>13</v>
      </c>
      <c r="H102" s="134">
        <f>IF(Table3[[#This Row],[Before restocks A]]&lt;0, 0, Table3[[#This Row],[Before restocks A]])</f>
        <v>13</v>
      </c>
      <c r="I102" s="132">
        <v>0</v>
      </c>
      <c r="J102" s="132">
        <f>Table3[[#This Row],[After restocks A]]-Table3[[#This Row],[Need of B]]</f>
        <v>13</v>
      </c>
      <c r="K102" s="132">
        <f>IF(Table3[[#This Row],[Before restock B]]&lt;0,0,Table3[[#This Row],[Before restock B]])</f>
        <v>13</v>
      </c>
      <c r="L102" s="132">
        <v>2340</v>
      </c>
      <c r="M102" s="132">
        <f>Table3[[#This Row],[After restock B]]-Table3[[#This Row],[Need of C]]</f>
        <v>-2327</v>
      </c>
      <c r="N102" s="132">
        <f>IF(Table3[[#This Row],[Before restock C]]&lt;0,0,Table3[[#This Row],[Before restock C]])</f>
        <v>0</v>
      </c>
      <c r="O102" s="132">
        <v>0</v>
      </c>
      <c r="P102" s="132">
        <f>Table3[[#This Row],[After restock C]]-Table3[[#This Row],[Need of D]]</f>
        <v>0</v>
      </c>
      <c r="Q102" s="132">
        <f>IF(Table3[[#This Row],[Before restock D]]&lt;0,0,Table3[[#This Row],[Before restock D]])</f>
        <v>0</v>
      </c>
      <c r="R102" s="132">
        <v>0</v>
      </c>
      <c r="S102" s="132">
        <f>Table3[[#This Row],[After restock D]]-Table3[[#This Row],[Need of E]]</f>
        <v>0</v>
      </c>
      <c r="T102" s="132">
        <f>IF(Table3[[#This Row],[Before restock E]]&lt;0,0,Table3[[#This Row],[Before restock E]])</f>
        <v>0</v>
      </c>
      <c r="U102" s="132">
        <v>0</v>
      </c>
      <c r="V102" s="132">
        <f>Table3[[#This Row],[After restock E]]-Table3[[#This Row],[Need of F]]</f>
        <v>0</v>
      </c>
      <c r="W102" s="132">
        <f>IF(Table3[[#This Row],[Before restock F]]&lt;0,0,Table3[[#This Row],[Before restock F]])</f>
        <v>0</v>
      </c>
      <c r="X102" s="132">
        <v>0</v>
      </c>
      <c r="Y102" s="132">
        <f>Table3[[#This Row],[After restock F]]-Table3[[#This Row],[Need of G]]</f>
        <v>0</v>
      </c>
      <c r="Z102" s="132">
        <f>IF(Table3[[#This Row],[Before restock G]]&lt;0,0,Table3[[#This Row],[Before restock G]])</f>
        <v>0</v>
      </c>
      <c r="AA102" s="141">
        <f>SUMIF(Table3[[#This Row],[Before restocks A]:[After restock G]],"&lt;0")</f>
        <v>-2327</v>
      </c>
      <c r="AB102" s="133"/>
    </row>
    <row r="103" spans="1:28" s="39" customFormat="1" ht="42.75" hidden="1" customHeight="1" x14ac:dyDescent="0.3">
      <c r="A103" s="130" t="s">
        <v>549</v>
      </c>
      <c r="B103" s="94" t="s">
        <v>230</v>
      </c>
      <c r="C103" s="131" t="s">
        <v>229</v>
      </c>
      <c r="D103" s="131"/>
      <c r="E103" s="131">
        <v>61</v>
      </c>
      <c r="F103" s="131">
        <v>3000</v>
      </c>
      <c r="G103" s="131">
        <f>Table3[[#This Row],[Begin stocks]]-Table3[[#This Row],[Need of A]]</f>
        <v>-2939</v>
      </c>
      <c r="H103" s="131">
        <f>IF(Table3[[#This Row],[Before restocks A]]&lt;0, 0, Table3[[#This Row],[Before restocks A]])</f>
        <v>0</v>
      </c>
      <c r="I103" s="132">
        <v>7000</v>
      </c>
      <c r="J103" s="132">
        <f>Table3[[#This Row],[After restocks A]]-Table3[[#This Row],[Need of B]]</f>
        <v>-7000</v>
      </c>
      <c r="K103" s="132">
        <f>IF(Table3[[#This Row],[Before restock B]]&lt;0,0,Table3[[#This Row],[Before restock B]])</f>
        <v>0</v>
      </c>
      <c r="L103" s="132">
        <v>1200</v>
      </c>
      <c r="M103" s="132">
        <f>Table3[[#This Row],[After restock B]]-Table3[[#This Row],[Need of C]]</f>
        <v>-1200</v>
      </c>
      <c r="N103" s="132">
        <f>IF(Table3[[#This Row],[Before restock C]]&lt;0,0,Table3[[#This Row],[Before restock C]])</f>
        <v>0</v>
      </c>
      <c r="O103" s="132">
        <v>4370</v>
      </c>
      <c r="P103" s="132">
        <f>Table3[[#This Row],[After restock C]]-Table3[[#This Row],[Need of D]]</f>
        <v>-4370</v>
      </c>
      <c r="Q103" s="132">
        <f>IF(Table3[[#This Row],[Before restock D]]&lt;0,0,Table3[[#This Row],[Before restock D]])</f>
        <v>0</v>
      </c>
      <c r="R103" s="132">
        <v>700</v>
      </c>
      <c r="S103" s="132">
        <f>Table3[[#This Row],[After restock D]]-Table3[[#This Row],[Need of E]]</f>
        <v>-700</v>
      </c>
      <c r="T103" s="132">
        <f>IF(Table3[[#This Row],[Before restock E]]&lt;0,0,Table3[[#This Row],[Before restock E]])</f>
        <v>0</v>
      </c>
      <c r="U103" s="132">
        <v>12000</v>
      </c>
      <c r="V103" s="132">
        <f>Table3[[#This Row],[After restock E]]-Table3[[#This Row],[Need of F]]</f>
        <v>-12000</v>
      </c>
      <c r="W103" s="132">
        <f>IF(Table3[[#This Row],[Before restock F]]&lt;0,0,Table3[[#This Row],[Before restock F]])</f>
        <v>0</v>
      </c>
      <c r="X103" s="132">
        <v>9800</v>
      </c>
      <c r="Y103" s="132">
        <f>Table3[[#This Row],[After restock F]]-Table3[[#This Row],[Need of G]]</f>
        <v>-9800</v>
      </c>
      <c r="Z103" s="132">
        <f>IF(Table3[[#This Row],[Before restock G]]&lt;0,0,Table3[[#This Row],[Before restock G]])</f>
        <v>0</v>
      </c>
      <c r="AA103" s="141">
        <f>SUMIF(Table3[[#This Row],[Before restocks A]:[After restock G]],"&lt;0")</f>
        <v>-38009</v>
      </c>
      <c r="AB103" s="133"/>
    </row>
    <row r="104" spans="1:28" s="39" customFormat="1" ht="42.75" hidden="1" customHeight="1" x14ac:dyDescent="0.3">
      <c r="A104" s="135" t="s">
        <v>544</v>
      </c>
      <c r="B104" s="94" t="s">
        <v>241</v>
      </c>
      <c r="C104" s="136" t="s">
        <v>240</v>
      </c>
      <c r="D104" s="136"/>
      <c r="E104" s="136">
        <v>24</v>
      </c>
      <c r="F104" s="136">
        <v>0</v>
      </c>
      <c r="G104" s="136">
        <f>Table3[[#This Row],[Begin stocks]]-Table3[[#This Row],[Need of A]]</f>
        <v>24</v>
      </c>
      <c r="H104" s="136">
        <f>IF(Table3[[#This Row],[Before restocks A]]&lt;0, 0, Table3[[#This Row],[Before restocks A]])</f>
        <v>24</v>
      </c>
      <c r="I104" s="137">
        <v>28000</v>
      </c>
      <c r="J104" s="137">
        <f>Table3[[#This Row],[After restocks A]]-Table3[[#This Row],[Need of B]]</f>
        <v>-27976</v>
      </c>
      <c r="K104" s="137">
        <f>IF(Table3[[#This Row],[Before restock B]]&lt;0,0,Table3[[#This Row],[Before restock B]])</f>
        <v>0</v>
      </c>
      <c r="L104" s="137">
        <v>1440</v>
      </c>
      <c r="M104" s="137">
        <f>Table3[[#This Row],[After restock B]]-Table3[[#This Row],[Need of C]]</f>
        <v>-1440</v>
      </c>
      <c r="N104" s="137">
        <f>IF(Table3[[#This Row],[Before restock C]]&lt;0,0,Table3[[#This Row],[Before restock C]])</f>
        <v>0</v>
      </c>
      <c r="O104" s="137">
        <v>9584</v>
      </c>
      <c r="P104" s="137">
        <f>Table3[[#This Row],[After restock C]]-Table3[[#This Row],[Need of D]]</f>
        <v>-9584</v>
      </c>
      <c r="Q104" s="137">
        <f>IF(Table3[[#This Row],[Before restock D]]&lt;0,0,Table3[[#This Row],[Before restock D]])</f>
        <v>0</v>
      </c>
      <c r="R104" s="137">
        <v>0</v>
      </c>
      <c r="S104" s="137">
        <f>Table3[[#This Row],[After restock D]]-Table3[[#This Row],[Need of E]]</f>
        <v>0</v>
      </c>
      <c r="T104" s="137">
        <f>IF(Table3[[#This Row],[Before restock E]]&lt;0,0,Table3[[#This Row],[Before restock E]])</f>
        <v>0</v>
      </c>
      <c r="U104" s="137">
        <v>0</v>
      </c>
      <c r="V104" s="137">
        <f>Table3[[#This Row],[After restock E]]-Table3[[#This Row],[Need of F]]</f>
        <v>0</v>
      </c>
      <c r="W104" s="137">
        <f>IF(Table3[[#This Row],[Before restock F]]&lt;0,0,Table3[[#This Row],[Before restock F]])</f>
        <v>0</v>
      </c>
      <c r="X104" s="137">
        <v>2800</v>
      </c>
      <c r="Y104" s="137">
        <f>Table3[[#This Row],[After restock F]]-Table3[[#This Row],[Need of G]]</f>
        <v>-2800</v>
      </c>
      <c r="Z104" s="137">
        <f>IF(Table3[[#This Row],[Before restock G]]&lt;0,0,Table3[[#This Row],[Before restock G]])</f>
        <v>0</v>
      </c>
      <c r="AA104" s="141">
        <f>SUMIF(Table3[[#This Row],[Before restocks A]:[After restock G]],"&lt;0")</f>
        <v>-41800</v>
      </c>
      <c r="AB104" s="133"/>
    </row>
  </sheetData>
  <phoneticPr fontId="3" type="noConversion"/>
  <conditionalFormatting sqref="A1">
    <cfRule type="duplicateValues" dxfId="35" priority="54"/>
  </conditionalFormatting>
  <conditionalFormatting sqref="B2">
    <cfRule type="duplicateValues" dxfId="34" priority="12"/>
  </conditionalFormatting>
  <conditionalFormatting sqref="B2:B17">
    <cfRule type="cellIs" dxfId="33" priority="5" operator="lessThan">
      <formula>0</formula>
    </cfRule>
  </conditionalFormatting>
  <conditionalFormatting sqref="B3:B10">
    <cfRule type="duplicateValues" dxfId="32" priority="30"/>
  </conditionalFormatting>
  <conditionalFormatting sqref="B11">
    <cfRule type="duplicateValues" dxfId="31" priority="10"/>
  </conditionalFormatting>
  <conditionalFormatting sqref="B12">
    <cfRule type="duplicateValues" dxfId="30" priority="6"/>
  </conditionalFormatting>
  <conditionalFormatting sqref="B13">
    <cfRule type="duplicateValues" dxfId="29" priority="50"/>
  </conditionalFormatting>
  <conditionalFormatting sqref="B14">
    <cfRule type="duplicateValues" dxfId="28" priority="22"/>
  </conditionalFormatting>
  <conditionalFormatting sqref="B15">
    <cfRule type="duplicateValues" dxfId="27" priority="44"/>
  </conditionalFormatting>
  <conditionalFormatting sqref="B16">
    <cfRule type="duplicateValues" dxfId="26" priority="16"/>
  </conditionalFormatting>
  <conditionalFormatting sqref="B17">
    <cfRule type="duplicateValues" dxfId="25" priority="46"/>
  </conditionalFormatting>
  <conditionalFormatting sqref="B18:B19">
    <cfRule type="duplicateValues" dxfId="24" priority="28"/>
  </conditionalFormatting>
  <conditionalFormatting sqref="B20">
    <cfRule type="cellIs" dxfId="23" priority="7" operator="lessThan">
      <formula>0</formula>
    </cfRule>
    <cfRule type="duplicateValues" dxfId="22" priority="8"/>
  </conditionalFormatting>
  <conditionalFormatting sqref="B23:B25">
    <cfRule type="duplicateValues" dxfId="21" priority="26"/>
  </conditionalFormatting>
  <conditionalFormatting sqref="B23:B30">
    <cfRule type="cellIs" dxfId="20" priority="17" operator="lessThan">
      <formula>0</formula>
    </cfRule>
  </conditionalFormatting>
  <conditionalFormatting sqref="B26:B27">
    <cfRule type="duplicateValues" dxfId="19" priority="20"/>
  </conditionalFormatting>
  <conditionalFormatting sqref="B28:B29">
    <cfRule type="duplicateValues" dxfId="18" priority="24"/>
  </conditionalFormatting>
  <conditionalFormatting sqref="B30">
    <cfRule type="duplicateValues" dxfId="17" priority="18"/>
  </conditionalFormatting>
  <conditionalFormatting sqref="B32:B37 B39:B43">
    <cfRule type="duplicateValues" dxfId="16" priority="38"/>
  </conditionalFormatting>
  <conditionalFormatting sqref="B32:B43">
    <cfRule type="cellIs" dxfId="15" priority="1" operator="lessThan">
      <formula>0</formula>
    </cfRule>
  </conditionalFormatting>
  <conditionalFormatting sqref="B38">
    <cfRule type="duplicateValues" dxfId="14" priority="2"/>
  </conditionalFormatting>
  <conditionalFormatting sqref="B44:B45">
    <cfRule type="duplicateValues" dxfId="13" priority="27"/>
  </conditionalFormatting>
  <conditionalFormatting sqref="B46">
    <cfRule type="duplicateValues" dxfId="12" priority="40"/>
  </conditionalFormatting>
  <conditionalFormatting sqref="B46:B62">
    <cfRule type="cellIs" dxfId="11" priority="3" operator="lessThan">
      <formula>0</formula>
    </cfRule>
  </conditionalFormatting>
  <conditionalFormatting sqref="B47">
    <cfRule type="duplicateValues" dxfId="10" priority="48"/>
  </conditionalFormatting>
  <conditionalFormatting sqref="B48">
    <cfRule type="duplicateValues" dxfId="9" priority="4"/>
  </conditionalFormatting>
  <conditionalFormatting sqref="B49:B62">
    <cfRule type="duplicateValues" dxfId="8" priority="36"/>
  </conditionalFormatting>
  <conditionalFormatting sqref="B65:B75">
    <cfRule type="duplicateValues" dxfId="7" priority="34"/>
  </conditionalFormatting>
  <conditionalFormatting sqref="B65:B84">
    <cfRule type="cellIs" dxfId="6" priority="33" operator="lessThan">
      <formula>0</formula>
    </cfRule>
  </conditionalFormatting>
  <conditionalFormatting sqref="B76:B84">
    <cfRule type="duplicateValues" dxfId="5" priority="42"/>
  </conditionalFormatting>
  <conditionalFormatting sqref="B95:B102">
    <cfRule type="duplicateValues" dxfId="4" priority="32"/>
  </conditionalFormatting>
  <conditionalFormatting sqref="B95:B104">
    <cfRule type="cellIs" dxfId="3" priority="13" operator="lessThan">
      <formula>0</formula>
    </cfRule>
  </conditionalFormatting>
  <conditionalFormatting sqref="B103:B104">
    <cfRule type="duplicateValues" dxfId="2" priority="14"/>
  </conditionalFormatting>
  <conditionalFormatting sqref="AA2:AA104">
    <cfRule type="colorScale" priority="53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28E44-C220-47FE-8CC7-A41110E0524A}">
  <dimension ref="A1:U122"/>
  <sheetViews>
    <sheetView topLeftCell="D1" zoomScale="70" zoomScaleNormal="70" workbookViewId="0">
      <pane ySplit="1" topLeftCell="A2" activePane="bottomLeft" state="frozen"/>
      <selection pane="bottomLeft" activeCell="F120" sqref="F120"/>
    </sheetView>
  </sheetViews>
  <sheetFormatPr defaultColWidth="8.77734375" defaultRowHeight="14.4" x14ac:dyDescent="0.3"/>
  <cols>
    <col min="1" max="1" width="21.109375" style="109" bestFit="1" customWidth="1"/>
    <col min="2" max="2" width="102.77734375" style="40" customWidth="1"/>
    <col min="3" max="3" width="25.5546875" style="40" bestFit="1" customWidth="1"/>
    <col min="4" max="4" width="52.6640625" style="40" bestFit="1" customWidth="1"/>
    <col min="5" max="5" width="46.44140625" style="40" bestFit="1" customWidth="1"/>
    <col min="6" max="6" width="41.33203125" style="40" bestFit="1" customWidth="1"/>
    <col min="7" max="7" width="38.6640625" style="40" bestFit="1" customWidth="1"/>
    <col min="8" max="8" width="38.5546875" style="40" bestFit="1" customWidth="1"/>
    <col min="9" max="9" width="48.5546875" style="40" bestFit="1" customWidth="1"/>
    <col min="10" max="10" width="28.88671875" style="40" bestFit="1" customWidth="1"/>
    <col min="11" max="11" width="38.6640625" style="40" bestFit="1" customWidth="1"/>
    <col min="12" max="12" width="38.5546875" style="40" bestFit="1" customWidth="1"/>
    <col min="13" max="13" width="42" style="40" bestFit="1" customWidth="1"/>
    <col min="14" max="14" width="42.33203125" style="40" bestFit="1" customWidth="1"/>
    <col min="15" max="15" width="40.109375" style="40" bestFit="1" customWidth="1"/>
    <col min="16" max="16" width="42.21875" style="40" bestFit="1" customWidth="1"/>
    <col min="17" max="17" width="40" style="40" bestFit="1" customWidth="1"/>
    <col min="18" max="18" width="15.77734375" style="40" bestFit="1" customWidth="1"/>
    <col min="19" max="19" width="34.109375" style="40" bestFit="1" customWidth="1"/>
    <col min="20" max="20" width="19.109375" style="40" bestFit="1" customWidth="1"/>
    <col min="21" max="21" width="18" style="40" customWidth="1"/>
    <col min="22" max="16384" width="8.77734375" style="40"/>
  </cols>
  <sheetData>
    <row r="1" spans="1:21" ht="22.8" customHeight="1" x14ac:dyDescent="0.3">
      <c r="A1" s="75" t="s">
        <v>422</v>
      </c>
      <c r="B1" s="76" t="s">
        <v>365</v>
      </c>
      <c r="C1" s="76" t="s">
        <v>364</v>
      </c>
      <c r="D1" s="76" t="s">
        <v>363</v>
      </c>
      <c r="E1" s="77" t="s">
        <v>370</v>
      </c>
      <c r="F1" s="77" t="s">
        <v>371</v>
      </c>
      <c r="G1" s="77" t="s">
        <v>372</v>
      </c>
      <c r="H1" s="78" t="s">
        <v>373</v>
      </c>
      <c r="I1" s="79" t="s">
        <v>374</v>
      </c>
      <c r="J1" s="80" t="s">
        <v>375</v>
      </c>
      <c r="K1" s="80" t="s">
        <v>376</v>
      </c>
      <c r="L1" s="80" t="s">
        <v>377</v>
      </c>
      <c r="M1" s="81" t="s">
        <v>378</v>
      </c>
      <c r="N1" s="82" t="s">
        <v>379</v>
      </c>
      <c r="O1" s="83" t="s">
        <v>380</v>
      </c>
      <c r="P1" s="83" t="s">
        <v>381</v>
      </c>
      <c r="Q1" s="83" t="s">
        <v>382</v>
      </c>
      <c r="R1" s="82" t="s">
        <v>355</v>
      </c>
      <c r="S1" s="84" t="s">
        <v>417</v>
      </c>
      <c r="T1" s="84" t="s">
        <v>418</v>
      </c>
      <c r="U1" s="85" t="s">
        <v>419</v>
      </c>
    </row>
    <row r="2" spans="1:21" ht="69" customHeight="1" x14ac:dyDescent="0.3">
      <c r="A2" s="98" t="s">
        <v>231</v>
      </c>
      <c r="B2" s="46" t="s">
        <v>351</v>
      </c>
      <c r="C2" s="43" t="s">
        <v>350</v>
      </c>
      <c r="D2" s="51"/>
      <c r="E2" s="51">
        <v>0</v>
      </c>
      <c r="F2" s="51">
        <v>0</v>
      </c>
      <c r="G2" s="51">
        <v>0</v>
      </c>
      <c r="H2" s="51">
        <v>140</v>
      </c>
      <c r="I2" s="59">
        <v>0</v>
      </c>
      <c r="J2" s="59">
        <v>0</v>
      </c>
      <c r="K2" s="59">
        <v>0</v>
      </c>
      <c r="L2" s="59">
        <v>2.8000000000000003</v>
      </c>
      <c r="M2" s="59">
        <v>0</v>
      </c>
      <c r="N2" s="59">
        <v>0</v>
      </c>
      <c r="O2" s="59">
        <v>0</v>
      </c>
      <c r="P2" s="59">
        <v>0</v>
      </c>
      <c r="Q2" s="59">
        <v>14</v>
      </c>
      <c r="R2" s="57">
        <f t="shared" ref="R2:R33" si="0">SUM(E2:Q2)</f>
        <v>156.80000000000001</v>
      </c>
      <c r="S2" s="99">
        <f>R2/132</f>
        <v>1.187878787878788</v>
      </c>
      <c r="T2" s="99">
        <v>7</v>
      </c>
      <c r="U2" s="100">
        <f>S2*T2</f>
        <v>8.3151515151515163</v>
      </c>
    </row>
    <row r="3" spans="1:21" ht="64.5" customHeight="1" x14ac:dyDescent="0.3">
      <c r="A3" s="98" t="s">
        <v>231</v>
      </c>
      <c r="B3" s="46" t="s">
        <v>349</v>
      </c>
      <c r="C3" s="43" t="s">
        <v>240</v>
      </c>
      <c r="D3" s="43"/>
      <c r="E3" s="43">
        <v>934.94999999999993</v>
      </c>
      <c r="F3" s="51">
        <v>0</v>
      </c>
      <c r="G3" s="51">
        <v>0</v>
      </c>
      <c r="H3" s="51">
        <v>0</v>
      </c>
      <c r="I3" s="59">
        <v>0</v>
      </c>
      <c r="J3" s="59">
        <v>0</v>
      </c>
      <c r="K3" s="59">
        <v>0</v>
      </c>
      <c r="L3" s="59">
        <v>0</v>
      </c>
      <c r="M3" s="59">
        <v>0</v>
      </c>
      <c r="N3" s="59">
        <v>0</v>
      </c>
      <c r="O3" s="59">
        <v>0</v>
      </c>
      <c r="P3" s="59">
        <v>0</v>
      </c>
      <c r="Q3" s="59">
        <v>0</v>
      </c>
      <c r="R3" s="57">
        <f t="shared" si="0"/>
        <v>934.94999999999993</v>
      </c>
      <c r="S3" s="99">
        <f t="shared" ref="S3:S66" si="1">R3/132</f>
        <v>7.0829545454545446</v>
      </c>
      <c r="T3" s="99">
        <v>7</v>
      </c>
      <c r="U3" s="100">
        <f t="shared" ref="U3:U66" si="2">S3*T3</f>
        <v>49.580681818181816</v>
      </c>
    </row>
    <row r="4" spans="1:21" ht="42.75" customHeight="1" x14ac:dyDescent="0.3">
      <c r="A4" s="98" t="s">
        <v>231</v>
      </c>
      <c r="B4" s="46" t="s">
        <v>348</v>
      </c>
      <c r="C4" s="43" t="s">
        <v>240</v>
      </c>
      <c r="D4" s="43"/>
      <c r="E4" s="43">
        <v>0</v>
      </c>
      <c r="F4" s="51">
        <v>0</v>
      </c>
      <c r="G4" s="51">
        <v>0</v>
      </c>
      <c r="H4" s="51">
        <v>0</v>
      </c>
      <c r="I4" s="59">
        <v>0</v>
      </c>
      <c r="J4" s="59">
        <v>0</v>
      </c>
      <c r="K4" s="59">
        <v>0</v>
      </c>
      <c r="L4" s="59">
        <v>0</v>
      </c>
      <c r="M4" s="59">
        <v>414.4</v>
      </c>
      <c r="N4" s="59">
        <v>0</v>
      </c>
      <c r="O4" s="59">
        <v>0</v>
      </c>
      <c r="P4" s="59">
        <v>1243.2</v>
      </c>
      <c r="Q4" s="59">
        <v>0</v>
      </c>
      <c r="R4" s="57">
        <f t="shared" si="0"/>
        <v>1657.6</v>
      </c>
      <c r="S4" s="99">
        <f t="shared" si="1"/>
        <v>12.557575757575757</v>
      </c>
      <c r="T4" s="99">
        <v>7</v>
      </c>
      <c r="U4" s="100">
        <f t="shared" si="2"/>
        <v>87.903030303030292</v>
      </c>
    </row>
    <row r="5" spans="1:21" ht="42.75" customHeight="1" x14ac:dyDescent="0.3">
      <c r="A5" s="98" t="s">
        <v>231</v>
      </c>
      <c r="B5" s="46" t="s">
        <v>347</v>
      </c>
      <c r="C5" s="43" t="s">
        <v>240</v>
      </c>
      <c r="D5" s="43"/>
      <c r="E5" s="43">
        <v>334.20000000000005</v>
      </c>
      <c r="F5" s="51">
        <v>0</v>
      </c>
      <c r="G5" s="51">
        <v>0</v>
      </c>
      <c r="H5" s="51">
        <v>3961.9999999999995</v>
      </c>
      <c r="I5" s="59">
        <v>100.80000000000001</v>
      </c>
      <c r="J5" s="59">
        <v>631.68000000000006</v>
      </c>
      <c r="K5" s="59">
        <v>0</v>
      </c>
      <c r="L5" s="59">
        <v>79.239999999999995</v>
      </c>
      <c r="M5" s="59">
        <v>0</v>
      </c>
      <c r="N5" s="59">
        <v>0</v>
      </c>
      <c r="O5" s="59">
        <v>0</v>
      </c>
      <c r="P5" s="59">
        <v>0</v>
      </c>
      <c r="Q5" s="59">
        <v>396.19999999999993</v>
      </c>
      <c r="R5" s="57">
        <f t="shared" si="0"/>
        <v>5504.12</v>
      </c>
      <c r="S5" s="99">
        <f t="shared" si="1"/>
        <v>41.697878787878786</v>
      </c>
      <c r="T5" s="99">
        <v>7</v>
      </c>
      <c r="U5" s="100">
        <f t="shared" si="2"/>
        <v>291.88515151515151</v>
      </c>
    </row>
    <row r="6" spans="1:21" ht="42.75" customHeight="1" x14ac:dyDescent="0.3">
      <c r="A6" s="98" t="s">
        <v>231</v>
      </c>
      <c r="B6" s="46" t="s">
        <v>346</v>
      </c>
      <c r="C6" s="43" t="s">
        <v>240</v>
      </c>
      <c r="D6" s="51"/>
      <c r="E6" s="51">
        <v>0</v>
      </c>
      <c r="F6" s="51">
        <v>0</v>
      </c>
      <c r="G6" s="51">
        <v>0</v>
      </c>
      <c r="H6" s="51">
        <v>3010</v>
      </c>
      <c r="I6" s="59">
        <v>77.400000000000006</v>
      </c>
      <c r="J6" s="59">
        <v>485.04</v>
      </c>
      <c r="K6" s="59">
        <v>0</v>
      </c>
      <c r="L6" s="59">
        <v>60.199999999999996</v>
      </c>
      <c r="M6" s="59">
        <v>0</v>
      </c>
      <c r="N6" s="59">
        <v>0</v>
      </c>
      <c r="O6" s="59">
        <v>0</v>
      </c>
      <c r="P6" s="59">
        <v>0</v>
      </c>
      <c r="Q6" s="59">
        <v>301</v>
      </c>
      <c r="R6" s="57">
        <f t="shared" si="0"/>
        <v>3933.64</v>
      </c>
      <c r="S6" s="99">
        <f t="shared" si="1"/>
        <v>29.800303030303031</v>
      </c>
      <c r="T6" s="99">
        <v>7</v>
      </c>
      <c r="U6" s="100">
        <f t="shared" si="2"/>
        <v>208.6021212121212</v>
      </c>
    </row>
    <row r="7" spans="1:21" ht="42.75" customHeight="1" x14ac:dyDescent="0.3">
      <c r="A7" s="98" t="s">
        <v>231</v>
      </c>
      <c r="B7" s="46" t="s">
        <v>345</v>
      </c>
      <c r="C7" s="43" t="s">
        <v>240</v>
      </c>
      <c r="D7" s="43"/>
      <c r="E7" s="43">
        <v>0</v>
      </c>
      <c r="F7" s="51">
        <v>0</v>
      </c>
      <c r="G7" s="51">
        <v>0</v>
      </c>
      <c r="H7" s="51">
        <v>9135</v>
      </c>
      <c r="I7" s="59">
        <v>235.08</v>
      </c>
      <c r="J7" s="59">
        <v>1473.1680000000001</v>
      </c>
      <c r="K7" s="59">
        <v>0</v>
      </c>
      <c r="L7" s="59">
        <v>182.7</v>
      </c>
      <c r="M7" s="59">
        <v>0</v>
      </c>
      <c r="N7" s="59">
        <v>0</v>
      </c>
      <c r="O7" s="59">
        <v>0</v>
      </c>
      <c r="P7" s="59">
        <v>0</v>
      </c>
      <c r="Q7" s="59">
        <v>913.49999999999989</v>
      </c>
      <c r="R7" s="57">
        <f t="shared" si="0"/>
        <v>11939.448</v>
      </c>
      <c r="S7" s="99">
        <f t="shared" si="1"/>
        <v>90.450363636363633</v>
      </c>
      <c r="T7" s="99">
        <v>7</v>
      </c>
      <c r="U7" s="100">
        <f t="shared" si="2"/>
        <v>633.15254545454547</v>
      </c>
    </row>
    <row r="8" spans="1:21" ht="42.75" customHeight="1" x14ac:dyDescent="0.3">
      <c r="A8" s="98" t="s">
        <v>231</v>
      </c>
      <c r="B8" s="46" t="s">
        <v>344</v>
      </c>
      <c r="C8" s="43" t="s">
        <v>240</v>
      </c>
      <c r="D8" s="51"/>
      <c r="E8" s="51">
        <v>0</v>
      </c>
      <c r="F8" s="51">
        <v>0</v>
      </c>
      <c r="G8" s="51">
        <v>0</v>
      </c>
      <c r="H8" s="51">
        <v>5739.9999999999991</v>
      </c>
      <c r="I8" s="59">
        <v>147.6</v>
      </c>
      <c r="J8" s="59">
        <v>924.95999999999992</v>
      </c>
      <c r="K8" s="59">
        <v>0</v>
      </c>
      <c r="L8" s="59">
        <v>114.79999999999998</v>
      </c>
      <c r="M8" s="59">
        <v>0</v>
      </c>
      <c r="N8" s="59">
        <v>0</v>
      </c>
      <c r="O8" s="59">
        <v>0</v>
      </c>
      <c r="P8" s="59">
        <v>0</v>
      </c>
      <c r="Q8" s="59">
        <v>574</v>
      </c>
      <c r="R8" s="57">
        <f t="shared" si="0"/>
        <v>7501.36</v>
      </c>
      <c r="S8" s="99">
        <f t="shared" si="1"/>
        <v>56.828484848484848</v>
      </c>
      <c r="T8" s="99">
        <v>7</v>
      </c>
      <c r="U8" s="100">
        <f t="shared" si="2"/>
        <v>397.79939393939395</v>
      </c>
    </row>
    <row r="9" spans="1:21" ht="42.75" customHeight="1" x14ac:dyDescent="0.3">
      <c r="A9" s="98" t="s">
        <v>343</v>
      </c>
      <c r="B9" s="46" t="s">
        <v>342</v>
      </c>
      <c r="C9" s="43" t="s">
        <v>240</v>
      </c>
      <c r="D9" s="101" t="s">
        <v>307</v>
      </c>
      <c r="E9" s="43">
        <v>16.5</v>
      </c>
      <c r="F9" s="51">
        <v>0</v>
      </c>
      <c r="G9" s="51">
        <v>0</v>
      </c>
      <c r="H9" s="51">
        <v>0</v>
      </c>
      <c r="I9" s="59">
        <v>0</v>
      </c>
      <c r="J9" s="59">
        <v>0</v>
      </c>
      <c r="K9" s="59">
        <v>0</v>
      </c>
      <c r="L9" s="59">
        <v>0</v>
      </c>
      <c r="M9" s="59">
        <v>0</v>
      </c>
      <c r="N9" s="59">
        <v>0</v>
      </c>
      <c r="O9" s="59">
        <v>0</v>
      </c>
      <c r="P9" s="59">
        <v>0</v>
      </c>
      <c r="Q9" s="59">
        <v>0</v>
      </c>
      <c r="R9" s="57">
        <f t="shared" si="0"/>
        <v>16.5</v>
      </c>
      <c r="S9" s="99">
        <f t="shared" si="1"/>
        <v>0.125</v>
      </c>
      <c r="T9" s="99">
        <v>14</v>
      </c>
      <c r="U9" s="100">
        <f t="shared" si="2"/>
        <v>1.75</v>
      </c>
    </row>
    <row r="10" spans="1:21" ht="42.75" customHeight="1" x14ac:dyDescent="0.3">
      <c r="A10" s="98" t="s">
        <v>339</v>
      </c>
      <c r="B10" s="46" t="s">
        <v>341</v>
      </c>
      <c r="C10" s="43" t="s">
        <v>240</v>
      </c>
      <c r="D10" s="102" t="s">
        <v>250</v>
      </c>
      <c r="E10" s="51">
        <v>0</v>
      </c>
      <c r="F10" s="51">
        <v>0</v>
      </c>
      <c r="G10" s="51">
        <v>0</v>
      </c>
      <c r="H10" s="51">
        <v>1680</v>
      </c>
      <c r="I10" s="59">
        <v>43.199999999999996</v>
      </c>
      <c r="J10" s="59">
        <v>270.71999999999997</v>
      </c>
      <c r="K10" s="59">
        <v>0</v>
      </c>
      <c r="L10" s="59">
        <v>33.6</v>
      </c>
      <c r="M10" s="59">
        <v>0</v>
      </c>
      <c r="N10" s="59">
        <v>0</v>
      </c>
      <c r="O10" s="59">
        <v>0</v>
      </c>
      <c r="P10" s="59">
        <v>0</v>
      </c>
      <c r="Q10" s="59">
        <v>168</v>
      </c>
      <c r="R10" s="57">
        <f t="shared" si="0"/>
        <v>2195.52</v>
      </c>
      <c r="S10" s="99">
        <f t="shared" si="1"/>
        <v>16.632727272727273</v>
      </c>
      <c r="T10" s="99">
        <v>14</v>
      </c>
      <c r="U10" s="100">
        <f t="shared" si="2"/>
        <v>232.85818181818183</v>
      </c>
    </row>
    <row r="11" spans="1:21" ht="42.75" customHeight="1" x14ac:dyDescent="0.3">
      <c r="A11" s="98" t="s">
        <v>231</v>
      </c>
      <c r="B11" s="46" t="s">
        <v>420</v>
      </c>
      <c r="C11" s="43" t="s">
        <v>240</v>
      </c>
      <c r="D11" s="51"/>
      <c r="E11" s="51">
        <v>0</v>
      </c>
      <c r="F11" s="51">
        <v>0</v>
      </c>
      <c r="G11" s="51">
        <v>0</v>
      </c>
      <c r="H11" s="51">
        <v>5180</v>
      </c>
      <c r="I11" s="59">
        <v>133.74</v>
      </c>
      <c r="J11" s="59">
        <v>834.72</v>
      </c>
      <c r="K11" s="59">
        <v>0</v>
      </c>
      <c r="L11" s="59">
        <v>103.60000000000001</v>
      </c>
      <c r="M11" s="59">
        <v>0</v>
      </c>
      <c r="N11" s="59">
        <v>0</v>
      </c>
      <c r="O11" s="59">
        <v>0</v>
      </c>
      <c r="P11" s="59">
        <v>0</v>
      </c>
      <c r="Q11" s="59">
        <v>518</v>
      </c>
      <c r="R11" s="57">
        <f t="shared" si="0"/>
        <v>6770.06</v>
      </c>
      <c r="S11" s="99">
        <f t="shared" si="1"/>
        <v>51.288333333333334</v>
      </c>
      <c r="T11" s="99">
        <v>14</v>
      </c>
      <c r="U11" s="100">
        <f t="shared" si="2"/>
        <v>718.03666666666663</v>
      </c>
    </row>
    <row r="12" spans="1:21" ht="42.75" customHeight="1" x14ac:dyDescent="0.3">
      <c r="A12" s="98" t="s">
        <v>339</v>
      </c>
      <c r="B12" s="46" t="s">
        <v>338</v>
      </c>
      <c r="C12" s="43" t="s">
        <v>240</v>
      </c>
      <c r="D12" s="102" t="s">
        <v>250</v>
      </c>
      <c r="E12" s="51">
        <v>0</v>
      </c>
      <c r="F12" s="51">
        <v>0</v>
      </c>
      <c r="G12" s="51">
        <v>0</v>
      </c>
      <c r="H12" s="51">
        <v>840</v>
      </c>
      <c r="I12" s="59">
        <v>21.599999999999998</v>
      </c>
      <c r="J12" s="59">
        <v>135.35999999999999</v>
      </c>
      <c r="K12" s="59">
        <v>0</v>
      </c>
      <c r="L12" s="59">
        <v>16.8</v>
      </c>
      <c r="M12" s="59">
        <v>0</v>
      </c>
      <c r="N12" s="59">
        <v>0</v>
      </c>
      <c r="O12" s="59">
        <v>0</v>
      </c>
      <c r="P12" s="59">
        <v>0</v>
      </c>
      <c r="Q12" s="59">
        <v>84</v>
      </c>
      <c r="R12" s="57">
        <f t="shared" si="0"/>
        <v>1097.76</v>
      </c>
      <c r="S12" s="99">
        <f t="shared" si="1"/>
        <v>8.3163636363636364</v>
      </c>
      <c r="T12" s="99">
        <v>7</v>
      </c>
      <c r="U12" s="100">
        <f t="shared" si="2"/>
        <v>58.214545454545458</v>
      </c>
    </row>
    <row r="13" spans="1:21" ht="42.75" customHeight="1" x14ac:dyDescent="0.3">
      <c r="A13" s="98" t="s">
        <v>231</v>
      </c>
      <c r="B13" s="46" t="s">
        <v>337</v>
      </c>
      <c r="C13" s="43" t="s">
        <v>229</v>
      </c>
      <c r="D13" s="43"/>
      <c r="E13" s="43">
        <v>0</v>
      </c>
      <c r="F13" s="51">
        <v>0</v>
      </c>
      <c r="G13" s="51">
        <v>0</v>
      </c>
      <c r="H13" s="51">
        <v>3500</v>
      </c>
      <c r="I13" s="59">
        <v>0</v>
      </c>
      <c r="J13" s="59">
        <v>0</v>
      </c>
      <c r="K13" s="59">
        <v>0</v>
      </c>
      <c r="L13" s="59">
        <v>70</v>
      </c>
      <c r="M13" s="59">
        <v>0</v>
      </c>
      <c r="N13" s="59">
        <v>0</v>
      </c>
      <c r="O13" s="59">
        <v>0</v>
      </c>
      <c r="P13" s="59">
        <v>0</v>
      </c>
      <c r="Q13" s="59">
        <v>350</v>
      </c>
      <c r="R13" s="57">
        <f t="shared" si="0"/>
        <v>3920</v>
      </c>
      <c r="S13" s="99">
        <f t="shared" si="1"/>
        <v>29.696969696969695</v>
      </c>
      <c r="T13" s="99">
        <v>7</v>
      </c>
      <c r="U13" s="100">
        <f t="shared" si="2"/>
        <v>207.87878787878788</v>
      </c>
    </row>
    <row r="14" spans="1:21" ht="42.75" customHeight="1" x14ac:dyDescent="0.3">
      <c r="A14" s="98" t="s">
        <v>231</v>
      </c>
      <c r="B14" s="46" t="s">
        <v>336</v>
      </c>
      <c r="C14" s="43" t="s">
        <v>229</v>
      </c>
      <c r="D14" s="43"/>
      <c r="E14" s="43">
        <v>0</v>
      </c>
      <c r="F14" s="51">
        <v>0</v>
      </c>
      <c r="G14" s="51">
        <v>0</v>
      </c>
      <c r="H14" s="51">
        <v>105</v>
      </c>
      <c r="I14" s="59">
        <v>0</v>
      </c>
      <c r="J14" s="59">
        <v>16.919999999999998</v>
      </c>
      <c r="K14" s="59">
        <v>0</v>
      </c>
      <c r="L14" s="59">
        <v>2.1</v>
      </c>
      <c r="M14" s="59">
        <v>0</v>
      </c>
      <c r="N14" s="59">
        <v>0</v>
      </c>
      <c r="O14" s="59">
        <v>0</v>
      </c>
      <c r="P14" s="59">
        <v>0</v>
      </c>
      <c r="Q14" s="59">
        <v>10.5</v>
      </c>
      <c r="R14" s="57">
        <f t="shared" si="0"/>
        <v>134.51999999999998</v>
      </c>
      <c r="S14" s="99">
        <f t="shared" si="1"/>
        <v>1.019090909090909</v>
      </c>
      <c r="T14" s="99">
        <v>7</v>
      </c>
      <c r="U14" s="100">
        <f t="shared" si="2"/>
        <v>7.1336363636363629</v>
      </c>
    </row>
    <row r="15" spans="1:21" ht="42.75" customHeight="1" x14ac:dyDescent="0.3">
      <c r="A15" s="98" t="s">
        <v>231</v>
      </c>
      <c r="B15" s="73" t="s">
        <v>335</v>
      </c>
      <c r="C15" s="43" t="s">
        <v>229</v>
      </c>
      <c r="D15" s="51"/>
      <c r="E15" s="51">
        <v>0</v>
      </c>
      <c r="F15" s="51">
        <v>15</v>
      </c>
      <c r="G15" s="51">
        <v>0</v>
      </c>
      <c r="H15" s="51">
        <v>140</v>
      </c>
      <c r="I15" s="59">
        <v>0</v>
      </c>
      <c r="J15" s="59">
        <v>564</v>
      </c>
      <c r="K15" s="59">
        <v>0</v>
      </c>
      <c r="L15" s="59">
        <v>2.8000000000000003</v>
      </c>
      <c r="M15" s="59">
        <v>0</v>
      </c>
      <c r="N15" s="59">
        <v>150</v>
      </c>
      <c r="O15" s="59">
        <v>0</v>
      </c>
      <c r="P15" s="59">
        <v>0</v>
      </c>
      <c r="Q15" s="59">
        <v>14</v>
      </c>
      <c r="R15" s="57">
        <f t="shared" si="0"/>
        <v>885.8</v>
      </c>
      <c r="S15" s="99">
        <f t="shared" si="1"/>
        <v>6.71060606060606</v>
      </c>
      <c r="T15" s="99">
        <v>7</v>
      </c>
      <c r="U15" s="100">
        <f t="shared" si="2"/>
        <v>46.974242424242419</v>
      </c>
    </row>
    <row r="16" spans="1:21" ht="42.75" customHeight="1" x14ac:dyDescent="0.3">
      <c r="A16" s="98" t="s">
        <v>231</v>
      </c>
      <c r="B16" s="46" t="s">
        <v>334</v>
      </c>
      <c r="C16" s="43" t="s">
        <v>229</v>
      </c>
      <c r="D16" s="43"/>
      <c r="E16" s="43">
        <v>7.95</v>
      </c>
      <c r="F16" s="51">
        <v>0</v>
      </c>
      <c r="G16" s="51">
        <v>0</v>
      </c>
      <c r="H16" s="51">
        <v>0</v>
      </c>
      <c r="I16" s="59">
        <v>0</v>
      </c>
      <c r="J16" s="59">
        <v>0</v>
      </c>
      <c r="K16" s="59">
        <v>0</v>
      </c>
      <c r="L16" s="59">
        <v>0</v>
      </c>
      <c r="M16" s="59">
        <v>4.62</v>
      </c>
      <c r="N16" s="59">
        <v>0</v>
      </c>
      <c r="O16" s="59">
        <v>0</v>
      </c>
      <c r="P16" s="59">
        <v>13.860000000000001</v>
      </c>
      <c r="Q16" s="59">
        <v>0</v>
      </c>
      <c r="R16" s="57">
        <f t="shared" si="0"/>
        <v>26.43</v>
      </c>
      <c r="S16" s="99">
        <f t="shared" si="1"/>
        <v>0.20022727272727273</v>
      </c>
      <c r="T16" s="99">
        <v>7</v>
      </c>
      <c r="U16" s="100">
        <f t="shared" si="2"/>
        <v>1.4015909090909091</v>
      </c>
    </row>
    <row r="17" spans="1:21" ht="42.75" customHeight="1" x14ac:dyDescent="0.3">
      <c r="A17" s="98" t="s">
        <v>231</v>
      </c>
      <c r="B17" s="46" t="s">
        <v>333</v>
      </c>
      <c r="C17" s="43" t="s">
        <v>229</v>
      </c>
      <c r="D17" s="51"/>
      <c r="E17" s="51">
        <v>11.25</v>
      </c>
      <c r="F17" s="51">
        <v>0</v>
      </c>
      <c r="G17" s="51">
        <v>0</v>
      </c>
      <c r="H17" s="51">
        <v>0</v>
      </c>
      <c r="I17" s="59">
        <v>82.26</v>
      </c>
      <c r="J17" s="59">
        <v>0</v>
      </c>
      <c r="K17" s="59">
        <v>0</v>
      </c>
      <c r="L17" s="59">
        <v>0</v>
      </c>
      <c r="M17" s="59">
        <v>0.14000000000000001</v>
      </c>
      <c r="N17" s="59">
        <v>0</v>
      </c>
      <c r="O17" s="59">
        <v>0</v>
      </c>
      <c r="P17" s="59">
        <v>0.42</v>
      </c>
      <c r="Q17" s="59">
        <v>0</v>
      </c>
      <c r="R17" s="57">
        <f t="shared" si="0"/>
        <v>94.070000000000007</v>
      </c>
      <c r="S17" s="99">
        <f t="shared" si="1"/>
        <v>0.71265151515151526</v>
      </c>
      <c r="T17" s="99">
        <v>7</v>
      </c>
      <c r="U17" s="100">
        <f t="shared" si="2"/>
        <v>4.9885606060606067</v>
      </c>
    </row>
    <row r="18" spans="1:21" ht="16.8" x14ac:dyDescent="0.3">
      <c r="A18" s="98" t="s">
        <v>231</v>
      </c>
      <c r="B18" s="46" t="s">
        <v>332</v>
      </c>
      <c r="C18" s="43" t="s">
        <v>229</v>
      </c>
      <c r="D18" s="43"/>
      <c r="E18" s="43">
        <v>236.85</v>
      </c>
      <c r="F18" s="51">
        <v>0</v>
      </c>
      <c r="G18" s="51">
        <v>0</v>
      </c>
      <c r="H18" s="51">
        <v>0</v>
      </c>
      <c r="I18" s="59">
        <v>102.6</v>
      </c>
      <c r="J18" s="59">
        <v>499.70400000000001</v>
      </c>
      <c r="K18" s="59">
        <v>0</v>
      </c>
      <c r="L18" s="59">
        <v>0</v>
      </c>
      <c r="M18" s="59">
        <v>199.78</v>
      </c>
      <c r="N18" s="59">
        <v>0</v>
      </c>
      <c r="O18" s="59">
        <v>0</v>
      </c>
      <c r="P18" s="59">
        <v>599.34</v>
      </c>
      <c r="Q18" s="59">
        <v>0</v>
      </c>
      <c r="R18" s="57">
        <f t="shared" si="0"/>
        <v>1638.2739999999999</v>
      </c>
      <c r="S18" s="99">
        <f t="shared" si="1"/>
        <v>12.411166666666666</v>
      </c>
      <c r="T18" s="99">
        <v>7</v>
      </c>
      <c r="U18" s="100">
        <f t="shared" si="2"/>
        <v>86.878166666666658</v>
      </c>
    </row>
    <row r="19" spans="1:21" ht="16.8" x14ac:dyDescent="0.3">
      <c r="A19" s="98" t="s">
        <v>231</v>
      </c>
      <c r="B19" s="46" t="s">
        <v>331</v>
      </c>
      <c r="C19" s="43" t="s">
        <v>229</v>
      </c>
      <c r="D19" s="43"/>
      <c r="E19" s="43">
        <v>0</v>
      </c>
      <c r="F19" s="51">
        <v>0</v>
      </c>
      <c r="G19" s="51">
        <v>0</v>
      </c>
      <c r="H19" s="51">
        <v>0</v>
      </c>
      <c r="I19" s="59">
        <v>0</v>
      </c>
      <c r="J19" s="59">
        <v>0</v>
      </c>
      <c r="K19" s="59">
        <v>0</v>
      </c>
      <c r="L19" s="59">
        <v>0</v>
      </c>
      <c r="M19" s="59">
        <v>0.28000000000000003</v>
      </c>
      <c r="N19" s="59">
        <v>0</v>
      </c>
      <c r="O19" s="59">
        <v>0</v>
      </c>
      <c r="P19" s="59">
        <v>0.84</v>
      </c>
      <c r="Q19" s="59">
        <v>0</v>
      </c>
      <c r="R19" s="57">
        <f t="shared" si="0"/>
        <v>1.1200000000000001</v>
      </c>
      <c r="S19" s="99">
        <f t="shared" si="1"/>
        <v>8.4848484848484857E-3</v>
      </c>
      <c r="T19" s="99">
        <v>7</v>
      </c>
      <c r="U19" s="100">
        <f t="shared" si="2"/>
        <v>5.9393939393939402E-2</v>
      </c>
    </row>
    <row r="20" spans="1:21" ht="16.8" x14ac:dyDescent="0.3">
      <c r="A20" s="98" t="s">
        <v>231</v>
      </c>
      <c r="B20" s="46" t="s">
        <v>330</v>
      </c>
      <c r="C20" s="43" t="s">
        <v>229</v>
      </c>
      <c r="D20" s="43"/>
      <c r="E20" s="43">
        <v>0</v>
      </c>
      <c r="F20" s="51">
        <v>0</v>
      </c>
      <c r="G20" s="51">
        <v>0</v>
      </c>
      <c r="H20" s="51">
        <v>0</v>
      </c>
      <c r="I20" s="59">
        <v>0</v>
      </c>
      <c r="J20" s="59">
        <v>0</v>
      </c>
      <c r="K20" s="59">
        <v>0</v>
      </c>
      <c r="L20" s="59">
        <v>0</v>
      </c>
      <c r="M20" s="59">
        <v>0.28000000000000003</v>
      </c>
      <c r="N20" s="59">
        <v>0</v>
      </c>
      <c r="O20" s="59">
        <v>0</v>
      </c>
      <c r="P20" s="59">
        <v>0.84</v>
      </c>
      <c r="Q20" s="59">
        <v>0</v>
      </c>
      <c r="R20" s="57">
        <f t="shared" si="0"/>
        <v>1.1200000000000001</v>
      </c>
      <c r="S20" s="99">
        <f t="shared" si="1"/>
        <v>8.4848484848484857E-3</v>
      </c>
      <c r="T20" s="99">
        <v>7</v>
      </c>
      <c r="U20" s="100">
        <f t="shared" si="2"/>
        <v>5.9393939393939402E-2</v>
      </c>
    </row>
    <row r="21" spans="1:21" ht="16.8" x14ac:dyDescent="0.3">
      <c r="A21" s="98" t="s">
        <v>231</v>
      </c>
      <c r="B21" s="46" t="s">
        <v>329</v>
      </c>
      <c r="C21" s="43" t="s">
        <v>229</v>
      </c>
      <c r="D21" s="43"/>
      <c r="E21" s="43">
        <v>0</v>
      </c>
      <c r="F21" s="51">
        <v>0</v>
      </c>
      <c r="G21" s="51">
        <v>0</v>
      </c>
      <c r="H21" s="51">
        <v>875</v>
      </c>
      <c r="I21" s="59">
        <v>22.14</v>
      </c>
      <c r="J21" s="59">
        <v>138.744</v>
      </c>
      <c r="K21" s="59">
        <v>0</v>
      </c>
      <c r="L21" s="59">
        <v>17.5</v>
      </c>
      <c r="M21" s="59">
        <v>0</v>
      </c>
      <c r="N21" s="59">
        <v>0</v>
      </c>
      <c r="O21" s="59">
        <v>0</v>
      </c>
      <c r="P21" s="59">
        <v>0</v>
      </c>
      <c r="Q21" s="59">
        <v>87.5</v>
      </c>
      <c r="R21" s="57">
        <f t="shared" si="0"/>
        <v>1140.884</v>
      </c>
      <c r="S21" s="99">
        <f t="shared" si="1"/>
        <v>8.6430606060606063</v>
      </c>
      <c r="T21" s="99">
        <v>7</v>
      </c>
      <c r="U21" s="100">
        <f t="shared" si="2"/>
        <v>60.501424242424243</v>
      </c>
    </row>
    <row r="22" spans="1:21" ht="16.8" x14ac:dyDescent="0.3">
      <c r="A22" s="98" t="s">
        <v>231</v>
      </c>
      <c r="B22" s="46" t="s">
        <v>328</v>
      </c>
      <c r="C22" s="43" t="s">
        <v>240</v>
      </c>
      <c r="D22" s="43"/>
      <c r="E22" s="43">
        <v>300</v>
      </c>
      <c r="F22" s="51">
        <v>420</v>
      </c>
      <c r="G22" s="51">
        <v>150</v>
      </c>
      <c r="H22" s="51">
        <v>14000</v>
      </c>
      <c r="I22" s="59">
        <v>420</v>
      </c>
      <c r="J22" s="59">
        <v>2256</v>
      </c>
      <c r="K22" s="59">
        <v>705</v>
      </c>
      <c r="L22" s="59">
        <v>280</v>
      </c>
      <c r="M22" s="59">
        <v>560</v>
      </c>
      <c r="N22" s="59">
        <v>4200</v>
      </c>
      <c r="O22" s="59">
        <v>3500</v>
      </c>
      <c r="P22" s="59">
        <v>1680</v>
      </c>
      <c r="Q22" s="59">
        <v>1400</v>
      </c>
      <c r="R22" s="57">
        <f t="shared" si="0"/>
        <v>29871</v>
      </c>
      <c r="S22" s="99">
        <f t="shared" si="1"/>
        <v>226.29545454545453</v>
      </c>
      <c r="T22" s="99">
        <v>7</v>
      </c>
      <c r="U22" s="100">
        <f t="shared" si="2"/>
        <v>1584.0681818181818</v>
      </c>
    </row>
    <row r="23" spans="1:21" ht="48.75" customHeight="1" x14ac:dyDescent="0.3">
      <c r="A23" s="98" t="s">
        <v>231</v>
      </c>
      <c r="B23" s="46" t="s">
        <v>327</v>
      </c>
      <c r="C23" s="43" t="s">
        <v>240</v>
      </c>
      <c r="D23" s="43"/>
      <c r="E23" s="43">
        <v>420</v>
      </c>
      <c r="F23" s="51">
        <v>360</v>
      </c>
      <c r="G23" s="51">
        <v>150</v>
      </c>
      <c r="H23" s="51">
        <v>8400</v>
      </c>
      <c r="I23" s="59">
        <v>360</v>
      </c>
      <c r="J23" s="59">
        <v>2256</v>
      </c>
      <c r="K23" s="59">
        <v>705</v>
      </c>
      <c r="L23" s="59">
        <v>168</v>
      </c>
      <c r="M23" s="59">
        <v>490</v>
      </c>
      <c r="N23" s="59">
        <v>3600</v>
      </c>
      <c r="O23" s="59">
        <v>3500</v>
      </c>
      <c r="P23" s="59">
        <v>1470</v>
      </c>
      <c r="Q23" s="59">
        <v>840</v>
      </c>
      <c r="R23" s="57">
        <f t="shared" si="0"/>
        <v>22719</v>
      </c>
      <c r="S23" s="99">
        <f t="shared" si="1"/>
        <v>172.11363636363637</v>
      </c>
      <c r="T23" s="99">
        <v>7</v>
      </c>
      <c r="U23" s="100">
        <f t="shared" si="2"/>
        <v>1204.7954545454545</v>
      </c>
    </row>
    <row r="24" spans="1:21" ht="16.8" x14ac:dyDescent="0.3">
      <c r="A24" s="98" t="s">
        <v>231</v>
      </c>
      <c r="B24" s="46" t="s">
        <v>326</v>
      </c>
      <c r="C24" s="43" t="s">
        <v>240</v>
      </c>
      <c r="D24" s="43"/>
      <c r="E24" s="43">
        <v>0</v>
      </c>
      <c r="F24" s="51">
        <v>0</v>
      </c>
      <c r="G24" s="51">
        <v>443.52000000000004</v>
      </c>
      <c r="H24" s="51">
        <v>0</v>
      </c>
      <c r="I24" s="59">
        <v>0</v>
      </c>
      <c r="J24" s="59">
        <v>0</v>
      </c>
      <c r="K24" s="59">
        <v>2084.5440000000003</v>
      </c>
      <c r="L24" s="59">
        <v>0</v>
      </c>
      <c r="M24" s="59">
        <v>705.6</v>
      </c>
      <c r="N24" s="59">
        <v>0</v>
      </c>
      <c r="O24" s="59">
        <v>10348.800000000001</v>
      </c>
      <c r="P24" s="59">
        <v>2116.8000000000002</v>
      </c>
      <c r="Q24" s="59">
        <v>0</v>
      </c>
      <c r="R24" s="57">
        <f t="shared" si="0"/>
        <v>15699.264000000003</v>
      </c>
      <c r="S24" s="99">
        <f t="shared" si="1"/>
        <v>118.9338181818182</v>
      </c>
      <c r="T24" s="99">
        <v>7</v>
      </c>
      <c r="U24" s="100">
        <f t="shared" si="2"/>
        <v>832.53672727272738</v>
      </c>
    </row>
    <row r="25" spans="1:21" ht="16.8" x14ac:dyDescent="0.3">
      <c r="A25" s="98" t="s">
        <v>231</v>
      </c>
      <c r="B25" s="46" t="s">
        <v>325</v>
      </c>
      <c r="C25" s="43" t="s">
        <v>240</v>
      </c>
      <c r="D25" s="51"/>
      <c r="E25" s="51">
        <v>0</v>
      </c>
      <c r="F25" s="51">
        <v>0</v>
      </c>
      <c r="G25" s="51">
        <v>0</v>
      </c>
      <c r="H25" s="51">
        <v>4375</v>
      </c>
      <c r="I25" s="59">
        <v>0</v>
      </c>
      <c r="J25" s="59">
        <v>0</v>
      </c>
      <c r="K25" s="59">
        <v>0</v>
      </c>
      <c r="L25" s="59">
        <v>87.5</v>
      </c>
      <c r="M25" s="59">
        <v>0</v>
      </c>
      <c r="N25" s="59">
        <v>0</v>
      </c>
      <c r="O25" s="59">
        <v>0</v>
      </c>
      <c r="P25" s="59">
        <v>0</v>
      </c>
      <c r="Q25" s="59">
        <v>437.5</v>
      </c>
      <c r="R25" s="57">
        <f t="shared" si="0"/>
        <v>4900</v>
      </c>
      <c r="S25" s="99">
        <f t="shared" si="1"/>
        <v>37.121212121212125</v>
      </c>
      <c r="T25" s="99">
        <v>7</v>
      </c>
      <c r="U25" s="100">
        <f t="shared" si="2"/>
        <v>259.84848484848487</v>
      </c>
    </row>
    <row r="26" spans="1:21" ht="16.8" x14ac:dyDescent="0.3">
      <c r="A26" s="98" t="s">
        <v>231</v>
      </c>
      <c r="B26" s="46" t="s">
        <v>324</v>
      </c>
      <c r="C26" s="43" t="s">
        <v>240</v>
      </c>
      <c r="D26" s="43"/>
      <c r="E26" s="43">
        <v>0</v>
      </c>
      <c r="F26" s="51">
        <v>0</v>
      </c>
      <c r="G26" s="51">
        <v>0</v>
      </c>
      <c r="H26" s="51">
        <v>4620</v>
      </c>
      <c r="I26" s="59">
        <v>0</v>
      </c>
      <c r="J26" s="59">
        <v>0</v>
      </c>
      <c r="K26" s="59">
        <v>0</v>
      </c>
      <c r="L26" s="59">
        <v>92.4</v>
      </c>
      <c r="M26" s="59">
        <v>0</v>
      </c>
      <c r="N26" s="59">
        <v>0</v>
      </c>
      <c r="O26" s="59">
        <v>0</v>
      </c>
      <c r="P26" s="59">
        <v>0</v>
      </c>
      <c r="Q26" s="59">
        <v>462.00000000000006</v>
      </c>
      <c r="R26" s="57">
        <f t="shared" si="0"/>
        <v>5174.3999999999996</v>
      </c>
      <c r="S26" s="99">
        <f t="shared" si="1"/>
        <v>39.199999999999996</v>
      </c>
      <c r="T26" s="99">
        <v>7</v>
      </c>
      <c r="U26" s="100">
        <f t="shared" si="2"/>
        <v>274.39999999999998</v>
      </c>
    </row>
    <row r="27" spans="1:21" ht="16.8" x14ac:dyDescent="0.3">
      <c r="A27" s="98" t="s">
        <v>231</v>
      </c>
      <c r="B27" s="46" t="s">
        <v>323</v>
      </c>
      <c r="C27" s="43" t="s">
        <v>229</v>
      </c>
      <c r="D27" s="51"/>
      <c r="E27" s="51">
        <v>0</v>
      </c>
      <c r="F27" s="51">
        <v>0</v>
      </c>
      <c r="G27" s="51">
        <v>21.840000000000003</v>
      </c>
      <c r="H27" s="51">
        <v>0</v>
      </c>
      <c r="I27" s="59">
        <v>0</v>
      </c>
      <c r="J27" s="59">
        <v>0</v>
      </c>
      <c r="K27" s="59">
        <v>102.64800000000001</v>
      </c>
      <c r="L27" s="59">
        <v>0</v>
      </c>
      <c r="M27" s="59">
        <v>0</v>
      </c>
      <c r="N27" s="59">
        <v>0</v>
      </c>
      <c r="O27" s="59">
        <v>509.60000000000008</v>
      </c>
      <c r="P27" s="59">
        <v>0</v>
      </c>
      <c r="Q27" s="59">
        <v>0</v>
      </c>
      <c r="R27" s="57">
        <f t="shared" si="0"/>
        <v>634.08800000000008</v>
      </c>
      <c r="S27" s="99">
        <f t="shared" si="1"/>
        <v>4.8036969696969702</v>
      </c>
      <c r="T27" s="99">
        <v>7</v>
      </c>
      <c r="U27" s="100">
        <f t="shared" si="2"/>
        <v>33.62587878787879</v>
      </c>
    </row>
    <row r="28" spans="1:21" ht="16.8" x14ac:dyDescent="0.3">
      <c r="A28" s="98" t="s">
        <v>231</v>
      </c>
      <c r="B28" s="46" t="s">
        <v>322</v>
      </c>
      <c r="C28" s="43" t="s">
        <v>229</v>
      </c>
      <c r="D28" s="43"/>
      <c r="E28" s="43">
        <v>0</v>
      </c>
      <c r="F28" s="51">
        <v>0</v>
      </c>
      <c r="G28" s="51">
        <v>0</v>
      </c>
      <c r="H28" s="51">
        <v>455</v>
      </c>
      <c r="I28" s="59">
        <v>23.400000000000002</v>
      </c>
      <c r="J28" s="59">
        <v>146.64000000000001</v>
      </c>
      <c r="K28" s="59">
        <v>0</v>
      </c>
      <c r="L28" s="59">
        <v>9.1</v>
      </c>
      <c r="M28" s="59">
        <v>0</v>
      </c>
      <c r="N28" s="59">
        <v>0</v>
      </c>
      <c r="O28" s="59">
        <v>0</v>
      </c>
      <c r="P28" s="59">
        <v>0</v>
      </c>
      <c r="Q28" s="59">
        <v>45.5</v>
      </c>
      <c r="R28" s="57">
        <f t="shared" si="0"/>
        <v>679.64</v>
      </c>
      <c r="S28" s="99">
        <f t="shared" si="1"/>
        <v>5.1487878787878785</v>
      </c>
      <c r="T28" s="99">
        <v>7</v>
      </c>
      <c r="U28" s="100">
        <f t="shared" si="2"/>
        <v>36.041515151515149</v>
      </c>
    </row>
    <row r="29" spans="1:21" ht="16.8" x14ac:dyDescent="0.3">
      <c r="A29" s="98" t="s">
        <v>231</v>
      </c>
      <c r="B29" s="46" t="s">
        <v>321</v>
      </c>
      <c r="C29" s="43" t="s">
        <v>229</v>
      </c>
      <c r="D29" s="51"/>
      <c r="E29" s="51">
        <v>0</v>
      </c>
      <c r="F29" s="51">
        <v>0</v>
      </c>
      <c r="G29" s="51">
        <v>0</v>
      </c>
      <c r="H29" s="51">
        <v>0</v>
      </c>
      <c r="I29" s="59">
        <v>0</v>
      </c>
      <c r="J29" s="59">
        <v>0</v>
      </c>
      <c r="K29" s="59">
        <v>0</v>
      </c>
      <c r="L29" s="59">
        <v>0</v>
      </c>
      <c r="M29" s="59">
        <v>222.74</v>
      </c>
      <c r="N29" s="59">
        <v>0</v>
      </c>
      <c r="O29" s="59">
        <v>0</v>
      </c>
      <c r="P29" s="59">
        <v>668.22</v>
      </c>
      <c r="Q29" s="59">
        <v>0</v>
      </c>
      <c r="R29" s="57">
        <f t="shared" si="0"/>
        <v>890.96</v>
      </c>
      <c r="S29" s="99">
        <f t="shared" si="1"/>
        <v>6.74969696969697</v>
      </c>
      <c r="T29" s="99">
        <v>7</v>
      </c>
      <c r="U29" s="100">
        <f t="shared" si="2"/>
        <v>47.24787878787879</v>
      </c>
    </row>
    <row r="30" spans="1:21" ht="16.8" x14ac:dyDescent="0.3">
      <c r="A30" s="98" t="s">
        <v>231</v>
      </c>
      <c r="B30" s="46" t="s">
        <v>320</v>
      </c>
      <c r="C30" s="43" t="s">
        <v>229</v>
      </c>
      <c r="D30" s="51"/>
      <c r="E30" s="51">
        <v>0</v>
      </c>
      <c r="F30" s="51">
        <v>0</v>
      </c>
      <c r="G30" s="51">
        <v>0</v>
      </c>
      <c r="H30" s="51">
        <v>0</v>
      </c>
      <c r="I30" s="59">
        <v>0</v>
      </c>
      <c r="J30" s="59">
        <v>0</v>
      </c>
      <c r="K30" s="59">
        <v>0</v>
      </c>
      <c r="L30" s="59">
        <v>0</v>
      </c>
      <c r="M30" s="59">
        <v>248.78</v>
      </c>
      <c r="N30" s="59">
        <v>0</v>
      </c>
      <c r="O30" s="59">
        <v>0</v>
      </c>
      <c r="P30" s="59">
        <v>746.33999999999992</v>
      </c>
      <c r="Q30" s="59">
        <v>0</v>
      </c>
      <c r="R30" s="57">
        <f t="shared" si="0"/>
        <v>995.11999999999989</v>
      </c>
      <c r="S30" s="99">
        <f t="shared" si="1"/>
        <v>7.5387878787878781</v>
      </c>
      <c r="T30" s="99">
        <v>7</v>
      </c>
      <c r="U30" s="100">
        <f t="shared" si="2"/>
        <v>52.771515151515146</v>
      </c>
    </row>
    <row r="31" spans="1:21" ht="16.8" x14ac:dyDescent="0.3">
      <c r="A31" s="98" t="s">
        <v>231</v>
      </c>
      <c r="B31" s="46" t="s">
        <v>319</v>
      </c>
      <c r="C31" s="43" t="s">
        <v>229</v>
      </c>
      <c r="D31" s="43"/>
      <c r="E31" s="43">
        <v>0</v>
      </c>
      <c r="F31" s="51">
        <v>0</v>
      </c>
      <c r="G31" s="51">
        <v>18.942</v>
      </c>
      <c r="H31" s="51">
        <v>0</v>
      </c>
      <c r="I31" s="59">
        <v>0</v>
      </c>
      <c r="J31" s="59">
        <v>0</v>
      </c>
      <c r="K31" s="59">
        <v>89.0274</v>
      </c>
      <c r="L31" s="59">
        <v>0</v>
      </c>
      <c r="M31" s="59">
        <v>0</v>
      </c>
      <c r="N31" s="59">
        <v>0</v>
      </c>
      <c r="O31" s="59">
        <v>441.97999999999996</v>
      </c>
      <c r="P31" s="59">
        <v>0</v>
      </c>
      <c r="Q31" s="59">
        <v>0</v>
      </c>
      <c r="R31" s="57">
        <f t="shared" si="0"/>
        <v>549.94939999999997</v>
      </c>
      <c r="S31" s="99">
        <f t="shared" si="1"/>
        <v>4.1662833333333333</v>
      </c>
      <c r="T31" s="99">
        <v>7</v>
      </c>
      <c r="U31" s="100">
        <f t="shared" si="2"/>
        <v>29.163983333333334</v>
      </c>
    </row>
    <row r="32" spans="1:21" ht="42.75" customHeight="1" x14ac:dyDescent="0.3">
      <c r="A32" s="98" t="s">
        <v>318</v>
      </c>
      <c r="B32" s="46" t="s">
        <v>317</v>
      </c>
      <c r="C32" s="43" t="s">
        <v>229</v>
      </c>
      <c r="D32" s="101" t="s">
        <v>262</v>
      </c>
      <c r="E32" s="43">
        <v>0</v>
      </c>
      <c r="F32" s="51">
        <v>0</v>
      </c>
      <c r="G32" s="51">
        <v>0</v>
      </c>
      <c r="H32" s="51">
        <v>0</v>
      </c>
      <c r="I32" s="59">
        <v>5.76</v>
      </c>
      <c r="J32" s="59">
        <v>0</v>
      </c>
      <c r="K32" s="59">
        <v>0</v>
      </c>
      <c r="L32" s="59">
        <v>0</v>
      </c>
      <c r="M32" s="59">
        <v>0</v>
      </c>
      <c r="N32" s="59">
        <v>0</v>
      </c>
      <c r="O32" s="59">
        <v>0</v>
      </c>
      <c r="P32" s="59">
        <v>0</v>
      </c>
      <c r="Q32" s="59">
        <v>0</v>
      </c>
      <c r="R32" s="57">
        <f t="shared" si="0"/>
        <v>5.76</v>
      </c>
      <c r="S32" s="99">
        <f t="shared" si="1"/>
        <v>4.3636363636363633E-2</v>
      </c>
      <c r="T32" s="99">
        <v>14</v>
      </c>
      <c r="U32" s="100">
        <f t="shared" si="2"/>
        <v>0.61090909090909085</v>
      </c>
    </row>
    <row r="33" spans="1:21" ht="42.75" customHeight="1" x14ac:dyDescent="0.3">
      <c r="A33" s="98" t="s">
        <v>231</v>
      </c>
      <c r="B33" s="46" t="s">
        <v>316</v>
      </c>
      <c r="C33" s="43" t="s">
        <v>240</v>
      </c>
      <c r="D33" s="51"/>
      <c r="E33" s="51">
        <v>0</v>
      </c>
      <c r="F33" s="51">
        <v>0</v>
      </c>
      <c r="G33" s="51">
        <v>0</v>
      </c>
      <c r="H33" s="51">
        <v>1190.0000000000002</v>
      </c>
      <c r="I33" s="59">
        <v>17.28</v>
      </c>
      <c r="J33" s="59">
        <v>113.92800000000001</v>
      </c>
      <c r="K33" s="59">
        <v>0</v>
      </c>
      <c r="L33" s="59">
        <v>23.800000000000004</v>
      </c>
      <c r="M33" s="59">
        <v>0</v>
      </c>
      <c r="N33" s="59">
        <v>0</v>
      </c>
      <c r="O33" s="59">
        <v>0</v>
      </c>
      <c r="P33" s="59">
        <v>0</v>
      </c>
      <c r="Q33" s="59">
        <v>119.00000000000001</v>
      </c>
      <c r="R33" s="57">
        <f t="shared" si="0"/>
        <v>1464.0080000000003</v>
      </c>
      <c r="S33" s="99">
        <f t="shared" si="1"/>
        <v>11.090969696969699</v>
      </c>
      <c r="T33" s="99">
        <v>7</v>
      </c>
      <c r="U33" s="100">
        <f t="shared" si="2"/>
        <v>77.636787878787899</v>
      </c>
    </row>
    <row r="34" spans="1:21" ht="42.75" customHeight="1" x14ac:dyDescent="0.3">
      <c r="A34" s="98" t="s">
        <v>231</v>
      </c>
      <c r="B34" s="46" t="s">
        <v>315</v>
      </c>
      <c r="C34" s="43" t="s">
        <v>240</v>
      </c>
      <c r="D34" s="51"/>
      <c r="E34" s="51">
        <v>0</v>
      </c>
      <c r="F34" s="51">
        <v>0</v>
      </c>
      <c r="G34" s="51">
        <v>0</v>
      </c>
      <c r="H34" s="51">
        <v>0</v>
      </c>
      <c r="I34" s="59">
        <v>210.6</v>
      </c>
      <c r="J34" s="59">
        <v>0</v>
      </c>
      <c r="K34" s="59">
        <v>0</v>
      </c>
      <c r="L34" s="59">
        <v>0</v>
      </c>
      <c r="M34" s="59">
        <v>0</v>
      </c>
      <c r="N34" s="59">
        <v>0</v>
      </c>
      <c r="O34" s="59">
        <v>0</v>
      </c>
      <c r="P34" s="59">
        <v>0</v>
      </c>
      <c r="Q34" s="59">
        <v>0</v>
      </c>
      <c r="R34" s="57">
        <f t="shared" ref="R34:R65" si="3">SUM(E34:Q34)</f>
        <v>210.6</v>
      </c>
      <c r="S34" s="99">
        <f t="shared" si="1"/>
        <v>1.5954545454545455</v>
      </c>
      <c r="T34" s="99">
        <v>7</v>
      </c>
      <c r="U34" s="100">
        <f t="shared" si="2"/>
        <v>11.168181818181818</v>
      </c>
    </row>
    <row r="35" spans="1:21" ht="42.75" customHeight="1" x14ac:dyDescent="0.3">
      <c r="A35" s="98" t="s">
        <v>231</v>
      </c>
      <c r="B35" s="46" t="s">
        <v>314</v>
      </c>
      <c r="C35" s="43" t="s">
        <v>240</v>
      </c>
      <c r="D35" s="51"/>
      <c r="E35" s="51">
        <v>0</v>
      </c>
      <c r="F35" s="51">
        <v>0</v>
      </c>
      <c r="G35" s="51">
        <v>0</v>
      </c>
      <c r="H35" s="51">
        <v>490.00000000000006</v>
      </c>
      <c r="I35" s="59">
        <v>12.600000000000001</v>
      </c>
      <c r="J35" s="59">
        <v>94.75200000000001</v>
      </c>
      <c r="K35" s="59">
        <v>0</v>
      </c>
      <c r="L35" s="59">
        <v>9.8000000000000007</v>
      </c>
      <c r="M35" s="59">
        <v>0</v>
      </c>
      <c r="N35" s="59">
        <v>0</v>
      </c>
      <c r="O35" s="59">
        <v>0</v>
      </c>
      <c r="P35" s="59">
        <v>0</v>
      </c>
      <c r="Q35" s="59">
        <v>49.000000000000007</v>
      </c>
      <c r="R35" s="57">
        <f t="shared" si="3"/>
        <v>656.15200000000004</v>
      </c>
      <c r="S35" s="99">
        <f t="shared" si="1"/>
        <v>4.9708484848484851</v>
      </c>
      <c r="T35" s="99">
        <v>7</v>
      </c>
      <c r="U35" s="100">
        <f t="shared" si="2"/>
        <v>34.795939393939392</v>
      </c>
    </row>
    <row r="36" spans="1:21" ht="42.75" customHeight="1" x14ac:dyDescent="0.3">
      <c r="A36" s="98" t="s">
        <v>231</v>
      </c>
      <c r="B36" s="46" t="s">
        <v>313</v>
      </c>
      <c r="C36" s="43" t="s">
        <v>240</v>
      </c>
      <c r="D36" s="51"/>
      <c r="E36" s="51">
        <v>0</v>
      </c>
      <c r="F36" s="51">
        <v>0</v>
      </c>
      <c r="G36" s="51">
        <v>0</v>
      </c>
      <c r="H36" s="51">
        <v>0</v>
      </c>
      <c r="I36" s="59">
        <v>3.5999999999999996</v>
      </c>
      <c r="J36" s="59">
        <v>0</v>
      </c>
      <c r="K36" s="59">
        <v>0</v>
      </c>
      <c r="L36" s="59">
        <v>0</v>
      </c>
      <c r="M36" s="59">
        <v>0</v>
      </c>
      <c r="N36" s="59">
        <v>0</v>
      </c>
      <c r="O36" s="59">
        <v>0</v>
      </c>
      <c r="P36" s="59">
        <v>0</v>
      </c>
      <c r="Q36" s="59">
        <v>0</v>
      </c>
      <c r="R36" s="57">
        <f t="shared" si="3"/>
        <v>3.5999999999999996</v>
      </c>
      <c r="S36" s="99">
        <f t="shared" si="1"/>
        <v>2.7272727272727271E-2</v>
      </c>
      <c r="T36" s="99">
        <v>7</v>
      </c>
      <c r="U36" s="100">
        <f t="shared" si="2"/>
        <v>0.19090909090909089</v>
      </c>
    </row>
    <row r="37" spans="1:21" ht="42.75" customHeight="1" x14ac:dyDescent="0.3">
      <c r="A37" s="98" t="s">
        <v>231</v>
      </c>
      <c r="B37" s="46" t="s">
        <v>312</v>
      </c>
      <c r="C37" s="43" t="s">
        <v>229</v>
      </c>
      <c r="D37" s="51"/>
      <c r="E37" s="51">
        <v>0</v>
      </c>
      <c r="F37" s="51">
        <v>0</v>
      </c>
      <c r="G37" s="51">
        <v>0</v>
      </c>
      <c r="H37" s="51">
        <v>0</v>
      </c>
      <c r="I37" s="59">
        <v>0</v>
      </c>
      <c r="J37" s="59">
        <v>0</v>
      </c>
      <c r="K37" s="59">
        <v>0</v>
      </c>
      <c r="L37" s="59">
        <v>0</v>
      </c>
      <c r="M37" s="59">
        <v>51.8</v>
      </c>
      <c r="N37" s="59">
        <v>0</v>
      </c>
      <c r="O37" s="59">
        <v>0</v>
      </c>
      <c r="P37" s="59">
        <v>155.4</v>
      </c>
      <c r="Q37" s="59">
        <v>0</v>
      </c>
      <c r="R37" s="57">
        <f t="shared" si="3"/>
        <v>207.2</v>
      </c>
      <c r="S37" s="99">
        <f t="shared" si="1"/>
        <v>1.5696969696969696</v>
      </c>
      <c r="T37" s="99">
        <v>7</v>
      </c>
      <c r="U37" s="100">
        <f t="shared" si="2"/>
        <v>10.987878787878786</v>
      </c>
    </row>
    <row r="38" spans="1:21" ht="42.75" customHeight="1" x14ac:dyDescent="0.3">
      <c r="A38" s="98" t="s">
        <v>231</v>
      </c>
      <c r="B38" s="46" t="s">
        <v>311</v>
      </c>
      <c r="C38" s="43" t="s">
        <v>229</v>
      </c>
      <c r="D38" s="51"/>
      <c r="E38" s="51">
        <v>0</v>
      </c>
      <c r="F38" s="51">
        <v>0</v>
      </c>
      <c r="G38" s="51">
        <v>0</v>
      </c>
      <c r="H38" s="51">
        <v>4235</v>
      </c>
      <c r="I38" s="59">
        <v>102.23999999999998</v>
      </c>
      <c r="J38" s="59">
        <v>394.79999999999995</v>
      </c>
      <c r="K38" s="59">
        <v>0</v>
      </c>
      <c r="L38" s="59">
        <v>84.7</v>
      </c>
      <c r="M38" s="59">
        <v>0</v>
      </c>
      <c r="N38" s="59">
        <v>0</v>
      </c>
      <c r="O38" s="59">
        <v>0</v>
      </c>
      <c r="P38" s="59">
        <v>0</v>
      </c>
      <c r="Q38" s="59">
        <v>423.5</v>
      </c>
      <c r="R38" s="57">
        <f t="shared" si="3"/>
        <v>5240.24</v>
      </c>
      <c r="S38" s="99">
        <f t="shared" si="1"/>
        <v>39.698787878787876</v>
      </c>
      <c r="T38" s="99">
        <v>7</v>
      </c>
      <c r="U38" s="100">
        <f t="shared" si="2"/>
        <v>277.89151515151514</v>
      </c>
    </row>
    <row r="39" spans="1:21" ht="42.75" customHeight="1" x14ac:dyDescent="0.3">
      <c r="A39" s="98" t="s">
        <v>297</v>
      </c>
      <c r="B39" s="46" t="s">
        <v>310</v>
      </c>
      <c r="C39" s="43" t="s">
        <v>229</v>
      </c>
      <c r="D39" s="102" t="s">
        <v>307</v>
      </c>
      <c r="E39" s="51">
        <v>7.95</v>
      </c>
      <c r="F39" s="51">
        <v>0</v>
      </c>
      <c r="G39" s="51">
        <v>0</v>
      </c>
      <c r="H39" s="51">
        <v>1109.5</v>
      </c>
      <c r="I39" s="59">
        <v>29.52</v>
      </c>
      <c r="J39" s="59">
        <v>184.99200000000002</v>
      </c>
      <c r="K39" s="59">
        <v>0</v>
      </c>
      <c r="L39" s="59">
        <v>22.189999999999998</v>
      </c>
      <c r="M39" s="59">
        <v>3.0799999999999996</v>
      </c>
      <c r="N39" s="59">
        <v>0</v>
      </c>
      <c r="O39" s="59">
        <v>0</v>
      </c>
      <c r="P39" s="59">
        <v>9.24</v>
      </c>
      <c r="Q39" s="59">
        <v>110.95</v>
      </c>
      <c r="R39" s="57">
        <f t="shared" si="3"/>
        <v>1477.422</v>
      </c>
      <c r="S39" s="99">
        <f t="shared" si="1"/>
        <v>11.19259090909091</v>
      </c>
      <c r="T39" s="99">
        <v>14</v>
      </c>
      <c r="U39" s="100">
        <f t="shared" si="2"/>
        <v>156.69627272727274</v>
      </c>
    </row>
    <row r="40" spans="1:21" ht="42.75" customHeight="1" x14ac:dyDescent="0.3">
      <c r="A40" s="98" t="s">
        <v>231</v>
      </c>
      <c r="B40" s="46" t="s">
        <v>309</v>
      </c>
      <c r="C40" s="43" t="s">
        <v>229</v>
      </c>
      <c r="D40" s="51"/>
      <c r="E40" s="51">
        <v>0</v>
      </c>
      <c r="F40" s="51">
        <v>0</v>
      </c>
      <c r="G40" s="51">
        <v>0</v>
      </c>
      <c r="H40" s="51">
        <v>2660</v>
      </c>
      <c r="I40" s="59">
        <v>80.459999999999994</v>
      </c>
      <c r="J40" s="59">
        <v>462.47999999999996</v>
      </c>
      <c r="K40" s="59">
        <v>0</v>
      </c>
      <c r="L40" s="59">
        <v>53.199999999999996</v>
      </c>
      <c r="M40" s="59">
        <v>0</v>
      </c>
      <c r="N40" s="59">
        <v>0</v>
      </c>
      <c r="O40" s="59">
        <v>0</v>
      </c>
      <c r="P40" s="59">
        <v>0</v>
      </c>
      <c r="Q40" s="59">
        <v>266</v>
      </c>
      <c r="R40" s="57">
        <f t="shared" si="3"/>
        <v>3522.14</v>
      </c>
      <c r="S40" s="99">
        <f t="shared" si="1"/>
        <v>26.682878787878789</v>
      </c>
      <c r="T40" s="99">
        <v>7</v>
      </c>
      <c r="U40" s="100">
        <f t="shared" si="2"/>
        <v>186.78015151515152</v>
      </c>
    </row>
    <row r="41" spans="1:21" ht="42.75" customHeight="1" x14ac:dyDescent="0.3">
      <c r="A41" s="98" t="s">
        <v>297</v>
      </c>
      <c r="B41" s="46" t="s">
        <v>308</v>
      </c>
      <c r="C41" s="43" t="s">
        <v>229</v>
      </c>
      <c r="D41" s="102" t="s">
        <v>307</v>
      </c>
      <c r="E41" s="51">
        <v>0</v>
      </c>
      <c r="F41" s="51">
        <v>0</v>
      </c>
      <c r="G41" s="51">
        <v>0</v>
      </c>
      <c r="H41" s="51">
        <v>0</v>
      </c>
      <c r="I41" s="59">
        <v>15</v>
      </c>
      <c r="J41" s="59">
        <v>0</v>
      </c>
      <c r="K41" s="59">
        <v>0</v>
      </c>
      <c r="L41" s="59">
        <v>0</v>
      </c>
      <c r="M41" s="59">
        <v>35</v>
      </c>
      <c r="N41" s="59">
        <v>0</v>
      </c>
      <c r="O41" s="59">
        <v>0</v>
      </c>
      <c r="P41" s="59">
        <v>105</v>
      </c>
      <c r="Q41" s="59">
        <v>0</v>
      </c>
      <c r="R41" s="57">
        <f t="shared" si="3"/>
        <v>155</v>
      </c>
      <c r="S41" s="99">
        <f t="shared" si="1"/>
        <v>1.1742424242424243</v>
      </c>
      <c r="T41" s="99">
        <v>14</v>
      </c>
      <c r="U41" s="100">
        <f t="shared" si="2"/>
        <v>16.439393939393941</v>
      </c>
    </row>
    <row r="42" spans="1:21" ht="42.75" customHeight="1" x14ac:dyDescent="0.3">
      <c r="A42" s="98" t="s">
        <v>231</v>
      </c>
      <c r="B42" s="46" t="s">
        <v>306</v>
      </c>
      <c r="C42" s="43" t="s">
        <v>229</v>
      </c>
      <c r="D42" s="43"/>
      <c r="E42" s="43">
        <v>0</v>
      </c>
      <c r="F42" s="51">
        <v>0</v>
      </c>
      <c r="G42" s="51">
        <v>0</v>
      </c>
      <c r="H42" s="51">
        <v>0</v>
      </c>
      <c r="I42" s="59">
        <v>46.800000000000004</v>
      </c>
      <c r="J42" s="59">
        <v>0</v>
      </c>
      <c r="K42" s="59">
        <v>0</v>
      </c>
      <c r="L42" s="59">
        <v>0</v>
      </c>
      <c r="M42" s="59">
        <v>0</v>
      </c>
      <c r="N42" s="59">
        <v>0</v>
      </c>
      <c r="O42" s="59">
        <v>0</v>
      </c>
      <c r="P42" s="59">
        <v>0</v>
      </c>
      <c r="Q42" s="59">
        <v>0</v>
      </c>
      <c r="R42" s="57">
        <f t="shared" si="3"/>
        <v>46.800000000000004</v>
      </c>
      <c r="S42" s="99">
        <f t="shared" si="1"/>
        <v>0.35454545454545455</v>
      </c>
      <c r="T42" s="99">
        <v>7</v>
      </c>
      <c r="U42" s="100">
        <f t="shared" si="2"/>
        <v>2.4818181818181819</v>
      </c>
    </row>
    <row r="43" spans="1:21" ht="42.75" customHeight="1" x14ac:dyDescent="0.3">
      <c r="A43" s="98" t="s">
        <v>231</v>
      </c>
      <c r="B43" s="46" t="s">
        <v>305</v>
      </c>
      <c r="C43" s="43" t="s">
        <v>229</v>
      </c>
      <c r="D43" s="43"/>
      <c r="E43" s="43">
        <v>0</v>
      </c>
      <c r="F43" s="51">
        <v>0</v>
      </c>
      <c r="G43" s="51">
        <v>0</v>
      </c>
      <c r="H43" s="51">
        <v>2008.9999999999998</v>
      </c>
      <c r="I43" s="59">
        <v>77.400000000000006</v>
      </c>
      <c r="J43" s="59">
        <v>304.56</v>
      </c>
      <c r="K43" s="59">
        <v>0</v>
      </c>
      <c r="L43" s="59">
        <v>40.179999999999993</v>
      </c>
      <c r="M43" s="59">
        <v>0</v>
      </c>
      <c r="N43" s="59">
        <v>0</v>
      </c>
      <c r="O43" s="59">
        <v>0</v>
      </c>
      <c r="P43" s="59">
        <v>0</v>
      </c>
      <c r="Q43" s="59">
        <v>200.89999999999998</v>
      </c>
      <c r="R43" s="57">
        <f t="shared" si="3"/>
        <v>2632.0399999999995</v>
      </c>
      <c r="S43" s="99">
        <f t="shared" si="1"/>
        <v>19.939696969696968</v>
      </c>
      <c r="T43" s="99">
        <v>7</v>
      </c>
      <c r="U43" s="100">
        <f t="shared" si="2"/>
        <v>139.57787878787877</v>
      </c>
    </row>
    <row r="44" spans="1:21" ht="42.75" customHeight="1" x14ac:dyDescent="0.3">
      <c r="A44" s="98" t="s">
        <v>231</v>
      </c>
      <c r="B44" s="46" t="s">
        <v>304</v>
      </c>
      <c r="C44" s="43" t="s">
        <v>229</v>
      </c>
      <c r="D44" s="43"/>
      <c r="E44" s="43">
        <v>0</v>
      </c>
      <c r="F44" s="51">
        <v>0</v>
      </c>
      <c r="G44" s="51">
        <v>0</v>
      </c>
      <c r="H44" s="51">
        <v>0</v>
      </c>
      <c r="I44" s="59">
        <v>0</v>
      </c>
      <c r="J44" s="59">
        <v>293.28000000000003</v>
      </c>
      <c r="K44" s="59">
        <v>0</v>
      </c>
      <c r="L44" s="59">
        <v>0</v>
      </c>
      <c r="M44" s="59">
        <v>0</v>
      </c>
      <c r="N44" s="59">
        <v>0</v>
      </c>
      <c r="O44" s="59">
        <v>0</v>
      </c>
      <c r="P44" s="59">
        <v>0</v>
      </c>
      <c r="Q44" s="59">
        <v>0</v>
      </c>
      <c r="R44" s="57">
        <f t="shared" si="3"/>
        <v>293.28000000000003</v>
      </c>
      <c r="S44" s="99">
        <f t="shared" si="1"/>
        <v>2.2218181818181821</v>
      </c>
      <c r="T44" s="99">
        <v>7</v>
      </c>
      <c r="U44" s="100">
        <f t="shared" si="2"/>
        <v>15.552727272727275</v>
      </c>
    </row>
    <row r="45" spans="1:21" ht="42.75" customHeight="1" x14ac:dyDescent="0.3">
      <c r="A45" s="98" t="s">
        <v>231</v>
      </c>
      <c r="B45" s="46" t="s">
        <v>303</v>
      </c>
      <c r="C45" s="43" t="s">
        <v>229</v>
      </c>
      <c r="D45" s="43"/>
      <c r="E45" s="43">
        <v>0</v>
      </c>
      <c r="F45" s="51">
        <v>0</v>
      </c>
      <c r="G45" s="51">
        <v>0</v>
      </c>
      <c r="H45" s="51">
        <v>1820</v>
      </c>
      <c r="I45" s="59">
        <v>0</v>
      </c>
      <c r="J45" s="59">
        <v>0</v>
      </c>
      <c r="K45" s="59">
        <v>0</v>
      </c>
      <c r="L45" s="59">
        <v>36.4</v>
      </c>
      <c r="M45" s="59">
        <v>0</v>
      </c>
      <c r="N45" s="59">
        <v>0</v>
      </c>
      <c r="O45" s="59">
        <v>0</v>
      </c>
      <c r="P45" s="59">
        <v>0</v>
      </c>
      <c r="Q45" s="59">
        <v>182</v>
      </c>
      <c r="R45" s="57">
        <f t="shared" si="3"/>
        <v>2038.4</v>
      </c>
      <c r="S45" s="99">
        <f t="shared" si="1"/>
        <v>15.442424242424243</v>
      </c>
      <c r="T45" s="99">
        <v>7</v>
      </c>
      <c r="U45" s="100">
        <f t="shared" si="2"/>
        <v>108.09696969696971</v>
      </c>
    </row>
    <row r="46" spans="1:21" ht="42.75" customHeight="1" x14ac:dyDescent="0.3">
      <c r="A46" s="98" t="s">
        <v>231</v>
      </c>
      <c r="B46" s="46" t="s">
        <v>302</v>
      </c>
      <c r="C46" s="43" t="s">
        <v>240</v>
      </c>
      <c r="D46" s="43"/>
      <c r="E46" s="43">
        <v>3355.5000000000005</v>
      </c>
      <c r="F46" s="51">
        <v>0</v>
      </c>
      <c r="G46" s="51">
        <v>0</v>
      </c>
      <c r="H46" s="51">
        <v>35000</v>
      </c>
      <c r="I46" s="59">
        <v>900</v>
      </c>
      <c r="J46" s="59">
        <v>5640</v>
      </c>
      <c r="K46" s="59">
        <v>0</v>
      </c>
      <c r="L46" s="59">
        <v>700</v>
      </c>
      <c r="M46" s="59">
        <v>2249.8000000000002</v>
      </c>
      <c r="N46" s="59">
        <v>0</v>
      </c>
      <c r="O46" s="59">
        <v>0</v>
      </c>
      <c r="P46" s="59">
        <v>6749.4000000000005</v>
      </c>
      <c r="Q46" s="59">
        <v>3500</v>
      </c>
      <c r="R46" s="57">
        <f t="shared" si="3"/>
        <v>58094.700000000004</v>
      </c>
      <c r="S46" s="99">
        <f t="shared" si="1"/>
        <v>440.11136363636365</v>
      </c>
      <c r="T46" s="99">
        <v>7</v>
      </c>
      <c r="U46" s="100">
        <f t="shared" si="2"/>
        <v>3080.7795454545458</v>
      </c>
    </row>
    <row r="47" spans="1:21" ht="42.75" customHeight="1" x14ac:dyDescent="0.3">
      <c r="A47" s="98" t="s">
        <v>231</v>
      </c>
      <c r="B47" s="46" t="s">
        <v>301</v>
      </c>
      <c r="C47" s="43" t="s">
        <v>240</v>
      </c>
      <c r="D47" s="43"/>
      <c r="E47" s="43">
        <v>712.8</v>
      </c>
      <c r="F47" s="51">
        <v>0</v>
      </c>
      <c r="G47" s="51">
        <v>0</v>
      </c>
      <c r="H47" s="51">
        <v>3055.5</v>
      </c>
      <c r="I47" s="59">
        <v>78.84</v>
      </c>
      <c r="J47" s="59">
        <v>494.06400000000002</v>
      </c>
      <c r="K47" s="59">
        <v>0</v>
      </c>
      <c r="L47" s="59">
        <v>61.11</v>
      </c>
      <c r="M47" s="59">
        <v>232.26</v>
      </c>
      <c r="N47" s="59">
        <v>0</v>
      </c>
      <c r="O47" s="59">
        <v>0</v>
      </c>
      <c r="P47" s="59">
        <v>696.78</v>
      </c>
      <c r="Q47" s="59">
        <v>305.55</v>
      </c>
      <c r="R47" s="57">
        <f t="shared" si="3"/>
        <v>5636.9040000000005</v>
      </c>
      <c r="S47" s="99">
        <f t="shared" si="1"/>
        <v>42.703818181818185</v>
      </c>
      <c r="T47" s="99">
        <v>7</v>
      </c>
      <c r="U47" s="100">
        <f t="shared" si="2"/>
        <v>298.92672727272731</v>
      </c>
    </row>
    <row r="48" spans="1:21" ht="42.75" customHeight="1" x14ac:dyDescent="0.3">
      <c r="A48" s="98" t="s">
        <v>231</v>
      </c>
      <c r="B48" s="46" t="s">
        <v>300</v>
      </c>
      <c r="C48" s="43" t="s">
        <v>240</v>
      </c>
      <c r="D48" s="43"/>
      <c r="E48" s="43">
        <v>712.8</v>
      </c>
      <c r="F48" s="51">
        <v>0</v>
      </c>
      <c r="G48" s="51">
        <v>0</v>
      </c>
      <c r="H48" s="51">
        <v>0</v>
      </c>
      <c r="I48" s="59">
        <v>0</v>
      </c>
      <c r="J48" s="59">
        <v>0</v>
      </c>
      <c r="K48" s="59">
        <v>0</v>
      </c>
      <c r="L48" s="59">
        <v>0</v>
      </c>
      <c r="M48" s="59">
        <v>232.11999999999998</v>
      </c>
      <c r="N48" s="59">
        <v>0</v>
      </c>
      <c r="O48" s="59">
        <v>0</v>
      </c>
      <c r="P48" s="59">
        <v>696.36</v>
      </c>
      <c r="Q48" s="59">
        <v>0</v>
      </c>
      <c r="R48" s="57">
        <f t="shared" si="3"/>
        <v>1641.28</v>
      </c>
      <c r="S48" s="99">
        <f t="shared" si="1"/>
        <v>12.433939393939394</v>
      </c>
      <c r="T48" s="99">
        <v>7</v>
      </c>
      <c r="U48" s="100">
        <f t="shared" si="2"/>
        <v>87.037575757575752</v>
      </c>
    </row>
    <row r="49" spans="1:21" ht="42.75" customHeight="1" x14ac:dyDescent="0.3">
      <c r="A49" s="98" t="s">
        <v>231</v>
      </c>
      <c r="B49" s="46" t="s">
        <v>299</v>
      </c>
      <c r="C49" s="43" t="s">
        <v>240</v>
      </c>
      <c r="D49" s="51"/>
      <c r="E49" s="51">
        <v>0</v>
      </c>
      <c r="F49" s="51">
        <v>0</v>
      </c>
      <c r="G49" s="51">
        <v>0</v>
      </c>
      <c r="H49" s="51">
        <v>35605.5</v>
      </c>
      <c r="I49" s="59">
        <v>915.66</v>
      </c>
      <c r="J49" s="59">
        <v>5741.5199999999995</v>
      </c>
      <c r="K49" s="59">
        <v>0</v>
      </c>
      <c r="L49" s="59">
        <v>712.11</v>
      </c>
      <c r="M49" s="59">
        <v>0</v>
      </c>
      <c r="N49" s="59">
        <v>0</v>
      </c>
      <c r="O49" s="59">
        <v>0</v>
      </c>
      <c r="P49" s="59">
        <v>0</v>
      </c>
      <c r="Q49" s="59">
        <v>3560.55</v>
      </c>
      <c r="R49" s="57">
        <f t="shared" si="3"/>
        <v>46535.340000000004</v>
      </c>
      <c r="S49" s="99">
        <f t="shared" si="1"/>
        <v>352.54045454545457</v>
      </c>
      <c r="T49" s="99">
        <v>7</v>
      </c>
      <c r="U49" s="100">
        <f t="shared" si="2"/>
        <v>2467.7831818181821</v>
      </c>
    </row>
    <row r="50" spans="1:21" ht="42.75" customHeight="1" x14ac:dyDescent="0.3">
      <c r="A50" s="98" t="s">
        <v>231</v>
      </c>
      <c r="B50" s="46" t="s">
        <v>298</v>
      </c>
      <c r="C50" s="43" t="s">
        <v>229</v>
      </c>
      <c r="D50" s="43"/>
      <c r="E50" s="43">
        <v>0</v>
      </c>
      <c r="F50" s="51">
        <v>0</v>
      </c>
      <c r="G50" s="51">
        <v>0</v>
      </c>
      <c r="H50" s="51">
        <v>7000</v>
      </c>
      <c r="I50" s="59">
        <v>0</v>
      </c>
      <c r="J50" s="59">
        <v>0</v>
      </c>
      <c r="K50" s="59">
        <v>0</v>
      </c>
      <c r="L50" s="59">
        <v>140</v>
      </c>
      <c r="M50" s="59">
        <v>0</v>
      </c>
      <c r="N50" s="59">
        <v>0</v>
      </c>
      <c r="O50" s="59">
        <v>0</v>
      </c>
      <c r="P50" s="59">
        <v>0</v>
      </c>
      <c r="Q50" s="59">
        <v>700</v>
      </c>
      <c r="R50" s="57">
        <f t="shared" si="3"/>
        <v>7840</v>
      </c>
      <c r="S50" s="99">
        <f t="shared" si="1"/>
        <v>59.393939393939391</v>
      </c>
      <c r="T50" s="99">
        <v>7</v>
      </c>
      <c r="U50" s="100">
        <f t="shared" si="2"/>
        <v>415.75757575757575</v>
      </c>
    </row>
    <row r="51" spans="1:21" ht="42.75" customHeight="1" x14ac:dyDescent="0.3">
      <c r="A51" s="98" t="s">
        <v>297</v>
      </c>
      <c r="B51" s="46" t="s">
        <v>296</v>
      </c>
      <c r="C51" s="43" t="s">
        <v>229</v>
      </c>
      <c r="D51" s="101" t="s">
        <v>262</v>
      </c>
      <c r="E51" s="43">
        <v>0</v>
      </c>
      <c r="F51" s="51">
        <v>0</v>
      </c>
      <c r="G51" s="51">
        <v>0</v>
      </c>
      <c r="H51" s="51">
        <v>0</v>
      </c>
      <c r="I51" s="59">
        <v>180</v>
      </c>
      <c r="J51" s="59">
        <v>1128</v>
      </c>
      <c r="K51" s="59">
        <v>0</v>
      </c>
      <c r="L51" s="59">
        <v>0</v>
      </c>
      <c r="M51" s="59">
        <v>0</v>
      </c>
      <c r="N51" s="59">
        <v>0</v>
      </c>
      <c r="O51" s="59">
        <v>0</v>
      </c>
      <c r="P51" s="59">
        <v>0</v>
      </c>
      <c r="Q51" s="59">
        <v>0</v>
      </c>
      <c r="R51" s="57">
        <f t="shared" si="3"/>
        <v>1308</v>
      </c>
      <c r="S51" s="99">
        <f t="shared" si="1"/>
        <v>9.9090909090909083</v>
      </c>
      <c r="T51" s="99">
        <v>14</v>
      </c>
      <c r="U51" s="100">
        <f t="shared" si="2"/>
        <v>138.72727272727272</v>
      </c>
    </row>
    <row r="52" spans="1:21" ht="42.75" customHeight="1" x14ac:dyDescent="0.3">
      <c r="A52" s="98" t="s">
        <v>231</v>
      </c>
      <c r="B52" s="46" t="s">
        <v>295</v>
      </c>
      <c r="C52" s="43" t="s">
        <v>229</v>
      </c>
      <c r="D52" s="51"/>
      <c r="E52" s="51">
        <v>300</v>
      </c>
      <c r="F52" s="51">
        <v>0</v>
      </c>
      <c r="G52" s="51">
        <v>0</v>
      </c>
      <c r="H52" s="51">
        <v>1750</v>
      </c>
      <c r="I52" s="59">
        <v>0</v>
      </c>
      <c r="J52" s="59">
        <v>564</v>
      </c>
      <c r="K52" s="59">
        <v>0</v>
      </c>
      <c r="L52" s="59">
        <v>35</v>
      </c>
      <c r="M52" s="59">
        <v>70</v>
      </c>
      <c r="N52" s="59">
        <v>0</v>
      </c>
      <c r="O52" s="59">
        <v>0</v>
      </c>
      <c r="P52" s="59">
        <v>210</v>
      </c>
      <c r="Q52" s="59">
        <v>175</v>
      </c>
      <c r="R52" s="57">
        <f t="shared" si="3"/>
        <v>3104</v>
      </c>
      <c r="S52" s="99">
        <f t="shared" si="1"/>
        <v>23.515151515151516</v>
      </c>
      <c r="T52" s="99">
        <v>7</v>
      </c>
      <c r="U52" s="100">
        <f t="shared" si="2"/>
        <v>164.60606060606062</v>
      </c>
    </row>
    <row r="53" spans="1:21" ht="42.75" customHeight="1" x14ac:dyDescent="0.3">
      <c r="A53" s="98" t="s">
        <v>231</v>
      </c>
      <c r="B53" s="46" t="s">
        <v>294</v>
      </c>
      <c r="C53" s="43" t="s">
        <v>229</v>
      </c>
      <c r="D53" s="51"/>
      <c r="E53" s="51">
        <v>150</v>
      </c>
      <c r="F53" s="51">
        <v>0</v>
      </c>
      <c r="G53" s="51">
        <v>0</v>
      </c>
      <c r="H53" s="51">
        <v>5250</v>
      </c>
      <c r="I53" s="59">
        <v>180</v>
      </c>
      <c r="J53" s="59">
        <v>1128</v>
      </c>
      <c r="K53" s="59">
        <v>0</v>
      </c>
      <c r="L53" s="59">
        <v>105</v>
      </c>
      <c r="M53" s="59">
        <v>350</v>
      </c>
      <c r="N53" s="59">
        <v>0</v>
      </c>
      <c r="O53" s="59">
        <v>0</v>
      </c>
      <c r="P53" s="59">
        <v>1050</v>
      </c>
      <c r="Q53" s="59">
        <v>525</v>
      </c>
      <c r="R53" s="57">
        <f t="shared" si="3"/>
        <v>8738</v>
      </c>
      <c r="S53" s="99">
        <f t="shared" si="1"/>
        <v>66.196969696969703</v>
      </c>
      <c r="T53" s="99">
        <v>7</v>
      </c>
      <c r="U53" s="100">
        <f t="shared" si="2"/>
        <v>463.37878787878793</v>
      </c>
    </row>
    <row r="54" spans="1:21" ht="42.75" customHeight="1" x14ac:dyDescent="0.3">
      <c r="A54" s="98" t="s">
        <v>231</v>
      </c>
      <c r="B54" s="46" t="s">
        <v>293</v>
      </c>
      <c r="C54" s="43" t="s">
        <v>229</v>
      </c>
      <c r="D54" s="43"/>
      <c r="E54" s="43">
        <v>300</v>
      </c>
      <c r="F54" s="51">
        <v>0</v>
      </c>
      <c r="G54" s="51">
        <v>0</v>
      </c>
      <c r="H54" s="51">
        <v>5250</v>
      </c>
      <c r="I54" s="59">
        <v>180</v>
      </c>
      <c r="J54" s="59">
        <v>1128</v>
      </c>
      <c r="K54" s="59">
        <v>0</v>
      </c>
      <c r="L54" s="59">
        <v>105</v>
      </c>
      <c r="M54" s="59">
        <v>490</v>
      </c>
      <c r="N54" s="59">
        <v>0</v>
      </c>
      <c r="O54" s="59">
        <v>0</v>
      </c>
      <c r="P54" s="59">
        <v>1470</v>
      </c>
      <c r="Q54" s="59">
        <v>525</v>
      </c>
      <c r="R54" s="57">
        <f t="shared" si="3"/>
        <v>9448</v>
      </c>
      <c r="S54" s="99">
        <f t="shared" si="1"/>
        <v>71.575757575757578</v>
      </c>
      <c r="T54" s="99">
        <v>7</v>
      </c>
      <c r="U54" s="100">
        <f t="shared" si="2"/>
        <v>501.03030303030306</v>
      </c>
    </row>
    <row r="55" spans="1:21" ht="42.75" customHeight="1" x14ac:dyDescent="0.3">
      <c r="A55" s="98" t="s">
        <v>231</v>
      </c>
      <c r="B55" s="46" t="s">
        <v>292</v>
      </c>
      <c r="C55" s="43" t="s">
        <v>229</v>
      </c>
      <c r="D55" s="51"/>
      <c r="E55" s="51">
        <v>225</v>
      </c>
      <c r="F55" s="51">
        <v>0</v>
      </c>
      <c r="G55" s="51">
        <v>0</v>
      </c>
      <c r="H55" s="51">
        <v>3500</v>
      </c>
      <c r="I55" s="59">
        <v>90</v>
      </c>
      <c r="J55" s="59">
        <v>564</v>
      </c>
      <c r="K55" s="59">
        <v>0</v>
      </c>
      <c r="L55" s="59">
        <v>70</v>
      </c>
      <c r="M55" s="59">
        <v>280</v>
      </c>
      <c r="N55" s="59">
        <v>0</v>
      </c>
      <c r="O55" s="59">
        <v>0</v>
      </c>
      <c r="P55" s="59">
        <v>840</v>
      </c>
      <c r="Q55" s="59">
        <v>350</v>
      </c>
      <c r="R55" s="57">
        <f t="shared" si="3"/>
        <v>5919</v>
      </c>
      <c r="S55" s="99">
        <f t="shared" si="1"/>
        <v>44.840909090909093</v>
      </c>
      <c r="T55" s="99">
        <v>7</v>
      </c>
      <c r="U55" s="100">
        <f t="shared" si="2"/>
        <v>313.88636363636363</v>
      </c>
    </row>
    <row r="56" spans="1:21" ht="42.75" customHeight="1" x14ac:dyDescent="0.3">
      <c r="A56" s="98" t="s">
        <v>231</v>
      </c>
      <c r="B56" s="46" t="s">
        <v>291</v>
      </c>
      <c r="C56" s="43" t="s">
        <v>229</v>
      </c>
      <c r="D56" s="43"/>
      <c r="E56" s="43">
        <v>750</v>
      </c>
      <c r="F56" s="51">
        <v>0</v>
      </c>
      <c r="G56" s="51">
        <v>0</v>
      </c>
      <c r="H56" s="51">
        <v>17500</v>
      </c>
      <c r="I56" s="59">
        <v>540</v>
      </c>
      <c r="J56" s="59">
        <v>3384</v>
      </c>
      <c r="K56" s="59">
        <v>0</v>
      </c>
      <c r="L56" s="59">
        <v>350</v>
      </c>
      <c r="M56" s="59">
        <v>910</v>
      </c>
      <c r="N56" s="59">
        <v>0</v>
      </c>
      <c r="O56" s="59">
        <v>0</v>
      </c>
      <c r="P56" s="59">
        <v>2730</v>
      </c>
      <c r="Q56" s="59">
        <v>1750</v>
      </c>
      <c r="R56" s="57">
        <f t="shared" si="3"/>
        <v>27914</v>
      </c>
      <c r="S56" s="99">
        <f t="shared" si="1"/>
        <v>211.46969696969697</v>
      </c>
      <c r="T56" s="99">
        <v>7</v>
      </c>
      <c r="U56" s="100">
        <f t="shared" si="2"/>
        <v>1480.2878787878788</v>
      </c>
    </row>
    <row r="57" spans="1:21" ht="42.75" customHeight="1" x14ac:dyDescent="0.3">
      <c r="A57" s="98" t="s">
        <v>231</v>
      </c>
      <c r="B57" s="46" t="s">
        <v>290</v>
      </c>
      <c r="C57" s="43" t="s">
        <v>229</v>
      </c>
      <c r="D57" s="51"/>
      <c r="E57" s="51">
        <v>0</v>
      </c>
      <c r="F57" s="51">
        <v>0</v>
      </c>
      <c r="G57" s="51">
        <v>0</v>
      </c>
      <c r="H57" s="51">
        <v>700</v>
      </c>
      <c r="I57" s="59">
        <v>0</v>
      </c>
      <c r="J57" s="59">
        <v>0</v>
      </c>
      <c r="K57" s="59">
        <v>0</v>
      </c>
      <c r="L57" s="59">
        <v>14</v>
      </c>
      <c r="M57" s="59">
        <v>0</v>
      </c>
      <c r="N57" s="59">
        <v>0</v>
      </c>
      <c r="O57" s="59">
        <v>0</v>
      </c>
      <c r="P57" s="59">
        <v>0</v>
      </c>
      <c r="Q57" s="59">
        <v>70</v>
      </c>
      <c r="R57" s="57">
        <f t="shared" si="3"/>
        <v>784</v>
      </c>
      <c r="S57" s="99">
        <f t="shared" si="1"/>
        <v>5.9393939393939394</v>
      </c>
      <c r="T57" s="99">
        <v>7</v>
      </c>
      <c r="U57" s="100">
        <f t="shared" si="2"/>
        <v>41.575757575757578</v>
      </c>
    </row>
    <row r="58" spans="1:21" ht="42.75" customHeight="1" x14ac:dyDescent="0.3">
      <c r="A58" s="98" t="s">
        <v>231</v>
      </c>
      <c r="B58" s="46" t="s">
        <v>289</v>
      </c>
      <c r="C58" s="43" t="s">
        <v>229</v>
      </c>
      <c r="D58" s="43"/>
      <c r="E58" s="43">
        <v>0</v>
      </c>
      <c r="F58" s="51">
        <v>0</v>
      </c>
      <c r="G58" s="51">
        <v>0</v>
      </c>
      <c r="H58" s="51">
        <v>1050</v>
      </c>
      <c r="I58" s="59">
        <v>36.000000000000007</v>
      </c>
      <c r="J58" s="59">
        <v>225.60000000000002</v>
      </c>
      <c r="K58" s="59">
        <v>0</v>
      </c>
      <c r="L58" s="59">
        <v>21</v>
      </c>
      <c r="M58" s="59">
        <v>0</v>
      </c>
      <c r="N58" s="59">
        <v>0</v>
      </c>
      <c r="O58" s="59">
        <v>0</v>
      </c>
      <c r="P58" s="59">
        <v>0</v>
      </c>
      <c r="Q58" s="59">
        <v>105</v>
      </c>
      <c r="R58" s="57">
        <f t="shared" si="3"/>
        <v>1437.6</v>
      </c>
      <c r="S58" s="99">
        <f t="shared" si="1"/>
        <v>10.890909090909091</v>
      </c>
      <c r="T58" s="99">
        <v>7</v>
      </c>
      <c r="U58" s="100">
        <f t="shared" si="2"/>
        <v>76.236363636363635</v>
      </c>
    </row>
    <row r="59" spans="1:21" ht="42.75" customHeight="1" x14ac:dyDescent="0.3">
      <c r="A59" s="98" t="s">
        <v>231</v>
      </c>
      <c r="B59" s="46" t="s">
        <v>288</v>
      </c>
      <c r="C59" s="43" t="s">
        <v>229</v>
      </c>
      <c r="D59" s="43"/>
      <c r="E59" s="43">
        <v>0</v>
      </c>
      <c r="F59" s="51">
        <v>0</v>
      </c>
      <c r="G59" s="51">
        <v>0</v>
      </c>
      <c r="H59" s="51">
        <v>700</v>
      </c>
      <c r="I59" s="59">
        <v>18.000000000000004</v>
      </c>
      <c r="J59" s="59">
        <v>112.80000000000001</v>
      </c>
      <c r="K59" s="59">
        <v>0</v>
      </c>
      <c r="L59" s="59">
        <v>14</v>
      </c>
      <c r="M59" s="59">
        <v>0</v>
      </c>
      <c r="N59" s="59">
        <v>0</v>
      </c>
      <c r="O59" s="59">
        <v>0</v>
      </c>
      <c r="P59" s="59">
        <v>0</v>
      </c>
      <c r="Q59" s="59">
        <v>70</v>
      </c>
      <c r="R59" s="57">
        <f t="shared" si="3"/>
        <v>914.8</v>
      </c>
      <c r="S59" s="99">
        <f t="shared" si="1"/>
        <v>6.9303030303030297</v>
      </c>
      <c r="T59" s="99">
        <v>7</v>
      </c>
      <c r="U59" s="100">
        <f t="shared" si="2"/>
        <v>48.512121212121208</v>
      </c>
    </row>
    <row r="60" spans="1:21" ht="42.75" customHeight="1" x14ac:dyDescent="0.3">
      <c r="A60" s="98" t="s">
        <v>231</v>
      </c>
      <c r="B60" s="46" t="s">
        <v>287</v>
      </c>
      <c r="C60" s="43" t="s">
        <v>229</v>
      </c>
      <c r="D60" s="43"/>
      <c r="E60" s="43">
        <v>0</v>
      </c>
      <c r="F60" s="51">
        <v>0</v>
      </c>
      <c r="G60" s="51">
        <v>0</v>
      </c>
      <c r="H60" s="51">
        <v>1050</v>
      </c>
      <c r="I60" s="59">
        <v>36.000000000000007</v>
      </c>
      <c r="J60" s="59">
        <v>112.80000000000001</v>
      </c>
      <c r="K60" s="59">
        <v>0</v>
      </c>
      <c r="L60" s="59">
        <v>21</v>
      </c>
      <c r="M60" s="59">
        <v>0</v>
      </c>
      <c r="N60" s="59">
        <v>0</v>
      </c>
      <c r="O60" s="59">
        <v>0</v>
      </c>
      <c r="P60" s="59">
        <v>0</v>
      </c>
      <c r="Q60" s="59">
        <v>105</v>
      </c>
      <c r="R60" s="57">
        <f t="shared" si="3"/>
        <v>1324.8</v>
      </c>
      <c r="S60" s="99">
        <f t="shared" si="1"/>
        <v>10.036363636363635</v>
      </c>
      <c r="T60" s="99">
        <v>7</v>
      </c>
      <c r="U60" s="100">
        <f t="shared" si="2"/>
        <v>70.25454545454545</v>
      </c>
    </row>
    <row r="61" spans="1:21" ht="42.75" customHeight="1" x14ac:dyDescent="0.3">
      <c r="A61" s="98" t="s">
        <v>231</v>
      </c>
      <c r="B61" s="46" t="s">
        <v>286</v>
      </c>
      <c r="C61" s="43" t="s">
        <v>229</v>
      </c>
      <c r="D61" s="43"/>
      <c r="E61" s="43">
        <v>0</v>
      </c>
      <c r="F61" s="51">
        <v>150</v>
      </c>
      <c r="G61" s="51">
        <v>0</v>
      </c>
      <c r="H61" s="51">
        <v>0</v>
      </c>
      <c r="I61" s="59">
        <v>60</v>
      </c>
      <c r="J61" s="59">
        <v>0</v>
      </c>
      <c r="K61" s="59">
        <v>0</v>
      </c>
      <c r="L61" s="59">
        <v>0</v>
      </c>
      <c r="M61" s="59">
        <v>0</v>
      </c>
      <c r="N61" s="59">
        <v>1500</v>
      </c>
      <c r="O61" s="59">
        <v>0</v>
      </c>
      <c r="P61" s="59">
        <v>0</v>
      </c>
      <c r="Q61" s="59">
        <v>0</v>
      </c>
      <c r="R61" s="57">
        <f t="shared" si="3"/>
        <v>1710</v>
      </c>
      <c r="S61" s="99">
        <f t="shared" si="1"/>
        <v>12.954545454545455</v>
      </c>
      <c r="T61" s="99">
        <v>7</v>
      </c>
      <c r="U61" s="100">
        <f t="shared" si="2"/>
        <v>90.681818181818187</v>
      </c>
    </row>
    <row r="62" spans="1:21" ht="42.75" customHeight="1" x14ac:dyDescent="0.3">
      <c r="A62" s="98" t="s">
        <v>231</v>
      </c>
      <c r="B62" s="46" t="s">
        <v>285</v>
      </c>
      <c r="C62" s="43" t="s">
        <v>229</v>
      </c>
      <c r="D62" s="43"/>
      <c r="E62" s="43">
        <v>0</v>
      </c>
      <c r="F62" s="51">
        <v>0</v>
      </c>
      <c r="G62" s="51">
        <v>0</v>
      </c>
      <c r="H62" s="51">
        <v>1050</v>
      </c>
      <c r="I62" s="59">
        <v>26.999999999999996</v>
      </c>
      <c r="J62" s="59">
        <v>0</v>
      </c>
      <c r="K62" s="59">
        <v>0</v>
      </c>
      <c r="L62" s="59">
        <v>21</v>
      </c>
      <c r="M62" s="59">
        <v>0</v>
      </c>
      <c r="N62" s="59">
        <v>0</v>
      </c>
      <c r="O62" s="59">
        <v>0</v>
      </c>
      <c r="P62" s="59">
        <v>0</v>
      </c>
      <c r="Q62" s="59">
        <v>105</v>
      </c>
      <c r="R62" s="57">
        <f t="shared" si="3"/>
        <v>1203</v>
      </c>
      <c r="S62" s="99">
        <f t="shared" si="1"/>
        <v>9.1136363636363633</v>
      </c>
      <c r="T62" s="99">
        <v>7</v>
      </c>
      <c r="U62" s="100">
        <f t="shared" si="2"/>
        <v>63.795454545454547</v>
      </c>
    </row>
    <row r="63" spans="1:21" ht="42.75" customHeight="1" x14ac:dyDescent="0.3">
      <c r="A63" s="98" t="s">
        <v>231</v>
      </c>
      <c r="B63" s="46" t="s">
        <v>284</v>
      </c>
      <c r="C63" s="43" t="s">
        <v>240</v>
      </c>
      <c r="D63" s="43"/>
      <c r="E63" s="43">
        <v>0</v>
      </c>
      <c r="F63" s="51">
        <v>0</v>
      </c>
      <c r="G63" s="51">
        <v>0</v>
      </c>
      <c r="H63" s="51">
        <v>10006.5</v>
      </c>
      <c r="I63" s="59">
        <v>0</v>
      </c>
      <c r="J63" s="59">
        <v>0</v>
      </c>
      <c r="K63" s="59">
        <v>0</v>
      </c>
      <c r="L63" s="59">
        <v>200.13</v>
      </c>
      <c r="M63" s="59">
        <v>0</v>
      </c>
      <c r="N63" s="59">
        <v>0</v>
      </c>
      <c r="O63" s="59">
        <v>0</v>
      </c>
      <c r="P63" s="59">
        <v>0</v>
      </c>
      <c r="Q63" s="59">
        <v>1000.65</v>
      </c>
      <c r="R63" s="57">
        <f t="shared" si="3"/>
        <v>11207.279999999999</v>
      </c>
      <c r="S63" s="99">
        <f t="shared" si="1"/>
        <v>84.903636363636352</v>
      </c>
      <c r="T63" s="99">
        <v>7</v>
      </c>
      <c r="U63" s="100">
        <f t="shared" si="2"/>
        <v>594.32545454545448</v>
      </c>
    </row>
    <row r="64" spans="1:21" ht="42.75" customHeight="1" x14ac:dyDescent="0.3">
      <c r="A64" s="98" t="s">
        <v>231</v>
      </c>
      <c r="B64" s="46" t="s">
        <v>283</v>
      </c>
      <c r="C64" s="43" t="s">
        <v>229</v>
      </c>
      <c r="D64" s="43"/>
      <c r="E64" s="43">
        <v>0</v>
      </c>
      <c r="F64" s="51">
        <v>0</v>
      </c>
      <c r="G64" s="51">
        <v>0</v>
      </c>
      <c r="H64" s="51">
        <v>287000</v>
      </c>
      <c r="I64" s="59">
        <v>13320</v>
      </c>
      <c r="J64" s="59">
        <v>83472</v>
      </c>
      <c r="K64" s="59">
        <v>0</v>
      </c>
      <c r="L64" s="59">
        <v>5740</v>
      </c>
      <c r="M64" s="59">
        <v>0</v>
      </c>
      <c r="N64" s="59">
        <v>0</v>
      </c>
      <c r="O64" s="59">
        <v>0</v>
      </c>
      <c r="P64" s="59">
        <v>0</v>
      </c>
      <c r="Q64" s="59">
        <v>28700</v>
      </c>
      <c r="R64" s="57">
        <f t="shared" si="3"/>
        <v>418232</v>
      </c>
      <c r="S64" s="99">
        <f t="shared" si="1"/>
        <v>3168.4242424242425</v>
      </c>
      <c r="T64" s="99">
        <v>7</v>
      </c>
      <c r="U64" s="100">
        <f t="shared" si="2"/>
        <v>22178.969696969696</v>
      </c>
    </row>
    <row r="65" spans="1:21" ht="42.75" customHeight="1" x14ac:dyDescent="0.3">
      <c r="A65" s="98" t="s">
        <v>231</v>
      </c>
      <c r="B65" s="46" t="s">
        <v>282</v>
      </c>
      <c r="C65" s="43" t="s">
        <v>229</v>
      </c>
      <c r="D65" s="43"/>
      <c r="E65" s="43">
        <v>0</v>
      </c>
      <c r="F65" s="51">
        <v>0</v>
      </c>
      <c r="G65" s="51">
        <v>0</v>
      </c>
      <c r="H65" s="51">
        <v>28000</v>
      </c>
      <c r="I65" s="59">
        <v>4140</v>
      </c>
      <c r="J65" s="59">
        <v>22560</v>
      </c>
      <c r="K65" s="59">
        <v>0</v>
      </c>
      <c r="L65" s="59">
        <v>560</v>
      </c>
      <c r="M65" s="59">
        <v>0</v>
      </c>
      <c r="N65" s="59">
        <v>0</v>
      </c>
      <c r="O65" s="59">
        <v>0</v>
      </c>
      <c r="P65" s="59">
        <v>0</v>
      </c>
      <c r="Q65" s="59">
        <v>2800</v>
      </c>
      <c r="R65" s="57">
        <f t="shared" si="3"/>
        <v>58060</v>
      </c>
      <c r="S65" s="99">
        <f t="shared" si="1"/>
        <v>439.84848484848487</v>
      </c>
      <c r="T65" s="99">
        <v>7</v>
      </c>
      <c r="U65" s="100">
        <f t="shared" si="2"/>
        <v>3078.939393939394</v>
      </c>
    </row>
    <row r="66" spans="1:21" ht="42.75" customHeight="1" x14ac:dyDescent="0.3">
      <c r="A66" s="98" t="s">
        <v>231</v>
      </c>
      <c r="B66" s="46" t="s">
        <v>281</v>
      </c>
      <c r="C66" s="43" t="s">
        <v>229</v>
      </c>
      <c r="D66" s="51"/>
      <c r="E66" s="51">
        <v>0</v>
      </c>
      <c r="F66" s="51">
        <v>0</v>
      </c>
      <c r="G66" s="51">
        <v>0</v>
      </c>
      <c r="H66" s="51">
        <v>357000</v>
      </c>
      <c r="I66" s="59">
        <v>12600</v>
      </c>
      <c r="J66" s="59">
        <v>82344</v>
      </c>
      <c r="K66" s="59">
        <v>0</v>
      </c>
      <c r="L66" s="59">
        <v>7140</v>
      </c>
      <c r="M66" s="59">
        <v>0</v>
      </c>
      <c r="N66" s="59">
        <v>0</v>
      </c>
      <c r="O66" s="59">
        <v>0</v>
      </c>
      <c r="P66" s="59">
        <v>0</v>
      </c>
      <c r="Q66" s="59">
        <v>35700</v>
      </c>
      <c r="R66" s="57">
        <f t="shared" ref="R66:R97" si="4">SUM(E66:Q66)</f>
        <v>494784</v>
      </c>
      <c r="S66" s="99">
        <f t="shared" si="1"/>
        <v>3748.3636363636365</v>
      </c>
      <c r="T66" s="99">
        <v>7</v>
      </c>
      <c r="U66" s="100">
        <f t="shared" si="2"/>
        <v>26238.545454545456</v>
      </c>
    </row>
    <row r="67" spans="1:21" ht="42.75" customHeight="1" x14ac:dyDescent="0.3">
      <c r="A67" s="98" t="s">
        <v>231</v>
      </c>
      <c r="B67" s="46" t="s">
        <v>280</v>
      </c>
      <c r="C67" s="43" t="s">
        <v>229</v>
      </c>
      <c r="D67" s="51"/>
      <c r="E67" s="51">
        <v>0</v>
      </c>
      <c r="F67" s="51">
        <v>0</v>
      </c>
      <c r="G67" s="51">
        <v>0</v>
      </c>
      <c r="H67" s="51">
        <v>336000</v>
      </c>
      <c r="I67" s="59">
        <v>15300</v>
      </c>
      <c r="J67" s="59">
        <v>80088</v>
      </c>
      <c r="K67" s="59">
        <v>0</v>
      </c>
      <c r="L67" s="59">
        <v>6720</v>
      </c>
      <c r="M67" s="59">
        <v>0</v>
      </c>
      <c r="N67" s="59">
        <v>0</v>
      </c>
      <c r="O67" s="59">
        <v>0</v>
      </c>
      <c r="P67" s="59">
        <v>0</v>
      </c>
      <c r="Q67" s="59">
        <v>33600</v>
      </c>
      <c r="R67" s="57">
        <f t="shared" si="4"/>
        <v>471708</v>
      </c>
      <c r="S67" s="99">
        <f t="shared" ref="S67:S104" si="5">R67/132</f>
        <v>3573.5454545454545</v>
      </c>
      <c r="T67" s="99">
        <v>7</v>
      </c>
      <c r="U67" s="100">
        <f t="shared" ref="U67:U104" si="6">S67*T67</f>
        <v>25014.81818181818</v>
      </c>
    </row>
    <row r="68" spans="1:21" ht="42.75" customHeight="1" x14ac:dyDescent="0.3">
      <c r="A68" s="98" t="s">
        <v>231</v>
      </c>
      <c r="B68" s="46" t="s">
        <v>279</v>
      </c>
      <c r="C68" s="43" t="s">
        <v>229</v>
      </c>
      <c r="D68" s="51"/>
      <c r="E68" s="51">
        <v>0</v>
      </c>
      <c r="F68" s="51">
        <v>0</v>
      </c>
      <c r="G68" s="51">
        <v>0</v>
      </c>
      <c r="H68" s="51">
        <v>245000</v>
      </c>
      <c r="I68" s="59">
        <v>12600</v>
      </c>
      <c r="J68" s="59">
        <v>78960</v>
      </c>
      <c r="K68" s="59">
        <v>0</v>
      </c>
      <c r="L68" s="59">
        <v>4900</v>
      </c>
      <c r="M68" s="59">
        <v>0</v>
      </c>
      <c r="N68" s="59">
        <v>0</v>
      </c>
      <c r="O68" s="59">
        <v>0</v>
      </c>
      <c r="P68" s="59">
        <v>0</v>
      </c>
      <c r="Q68" s="59">
        <v>24500</v>
      </c>
      <c r="R68" s="57">
        <f t="shared" si="4"/>
        <v>365960</v>
      </c>
      <c r="S68" s="99">
        <f t="shared" si="5"/>
        <v>2772.4242424242425</v>
      </c>
      <c r="T68" s="99">
        <v>7</v>
      </c>
      <c r="U68" s="100">
        <f t="shared" si="6"/>
        <v>19406.969696969696</v>
      </c>
    </row>
    <row r="69" spans="1:21" ht="42.75" customHeight="1" x14ac:dyDescent="0.3">
      <c r="A69" s="98" t="s">
        <v>231</v>
      </c>
      <c r="B69" s="46" t="s">
        <v>278</v>
      </c>
      <c r="C69" s="43" t="s">
        <v>229</v>
      </c>
      <c r="D69" s="51"/>
      <c r="E69" s="51">
        <v>0</v>
      </c>
      <c r="F69" s="51">
        <v>0</v>
      </c>
      <c r="G69" s="51">
        <v>0</v>
      </c>
      <c r="H69" s="51">
        <v>0</v>
      </c>
      <c r="I69" s="59">
        <v>2340</v>
      </c>
      <c r="J69" s="59">
        <v>0</v>
      </c>
      <c r="K69" s="59">
        <v>0</v>
      </c>
      <c r="L69" s="59">
        <v>0</v>
      </c>
      <c r="M69" s="59">
        <v>0</v>
      </c>
      <c r="N69" s="59">
        <v>0</v>
      </c>
      <c r="O69" s="59">
        <v>0</v>
      </c>
      <c r="P69" s="59">
        <v>0</v>
      </c>
      <c r="Q69" s="59">
        <v>0</v>
      </c>
      <c r="R69" s="57">
        <f t="shared" si="4"/>
        <v>2340</v>
      </c>
      <c r="S69" s="99">
        <f t="shared" si="5"/>
        <v>17.727272727272727</v>
      </c>
      <c r="T69" s="99">
        <v>7</v>
      </c>
      <c r="U69" s="100">
        <f t="shared" si="6"/>
        <v>124.09090909090909</v>
      </c>
    </row>
    <row r="70" spans="1:21" ht="42.75" customHeight="1" x14ac:dyDescent="0.3">
      <c r="A70" s="98" t="s">
        <v>231</v>
      </c>
      <c r="B70" s="46" t="s">
        <v>277</v>
      </c>
      <c r="C70" s="43" t="s">
        <v>229</v>
      </c>
      <c r="D70" s="51"/>
      <c r="E70" s="51">
        <v>300</v>
      </c>
      <c r="F70" s="51">
        <v>240</v>
      </c>
      <c r="G70" s="51">
        <v>150</v>
      </c>
      <c r="H70" s="51">
        <v>11200</v>
      </c>
      <c r="I70" s="59">
        <v>360</v>
      </c>
      <c r="J70" s="59">
        <v>1974</v>
      </c>
      <c r="K70" s="59">
        <v>705</v>
      </c>
      <c r="L70" s="59">
        <v>224</v>
      </c>
      <c r="M70" s="59">
        <v>455</v>
      </c>
      <c r="N70" s="59">
        <v>2400</v>
      </c>
      <c r="O70" s="59">
        <v>3500</v>
      </c>
      <c r="P70" s="59">
        <v>1365</v>
      </c>
      <c r="Q70" s="59">
        <v>1120</v>
      </c>
      <c r="R70" s="57">
        <f t="shared" si="4"/>
        <v>23993</v>
      </c>
      <c r="S70" s="99">
        <f t="shared" si="5"/>
        <v>181.7651515151515</v>
      </c>
      <c r="T70" s="99">
        <v>7</v>
      </c>
      <c r="U70" s="100">
        <f t="shared" si="6"/>
        <v>1272.3560606060605</v>
      </c>
    </row>
    <row r="71" spans="1:21" ht="42.75" customHeight="1" x14ac:dyDescent="0.3">
      <c r="A71" s="98" t="s">
        <v>231</v>
      </c>
      <c r="B71" s="46" t="s">
        <v>276</v>
      </c>
      <c r="C71" s="43" t="s">
        <v>229</v>
      </c>
      <c r="D71" s="51"/>
      <c r="E71" s="51">
        <v>0</v>
      </c>
      <c r="F71" s="51">
        <v>0</v>
      </c>
      <c r="G71" s="51">
        <v>0</v>
      </c>
      <c r="H71" s="51">
        <v>21000</v>
      </c>
      <c r="I71" s="59">
        <v>1080</v>
      </c>
      <c r="J71" s="59">
        <v>3384</v>
      </c>
      <c r="K71" s="59">
        <v>0</v>
      </c>
      <c r="L71" s="59">
        <v>420</v>
      </c>
      <c r="M71" s="59">
        <v>0</v>
      </c>
      <c r="N71" s="59">
        <v>0</v>
      </c>
      <c r="O71" s="59">
        <v>0</v>
      </c>
      <c r="P71" s="59">
        <v>0</v>
      </c>
      <c r="Q71" s="59">
        <v>2100</v>
      </c>
      <c r="R71" s="57">
        <f t="shared" si="4"/>
        <v>27984</v>
      </c>
      <c r="S71" s="99">
        <f t="shared" si="5"/>
        <v>212</v>
      </c>
      <c r="T71" s="99">
        <v>7</v>
      </c>
      <c r="U71" s="100">
        <f t="shared" si="6"/>
        <v>1484</v>
      </c>
    </row>
    <row r="72" spans="1:21" ht="42.75" customHeight="1" x14ac:dyDescent="0.3">
      <c r="A72" s="98" t="s">
        <v>231</v>
      </c>
      <c r="B72" s="46" t="s">
        <v>275</v>
      </c>
      <c r="C72" s="43" t="s">
        <v>229</v>
      </c>
      <c r="D72" s="51"/>
      <c r="E72" s="51">
        <v>0</v>
      </c>
      <c r="F72" s="51">
        <v>0</v>
      </c>
      <c r="G72" s="51">
        <v>0</v>
      </c>
      <c r="H72" s="51">
        <v>70000</v>
      </c>
      <c r="I72" s="59">
        <v>14400</v>
      </c>
      <c r="J72" s="59">
        <v>146640</v>
      </c>
      <c r="K72" s="59">
        <v>0</v>
      </c>
      <c r="L72" s="59">
        <v>1400</v>
      </c>
      <c r="M72" s="59">
        <v>0</v>
      </c>
      <c r="N72" s="59">
        <v>0</v>
      </c>
      <c r="O72" s="59">
        <v>0</v>
      </c>
      <c r="P72" s="59">
        <v>0</v>
      </c>
      <c r="Q72" s="59">
        <v>7000</v>
      </c>
      <c r="R72" s="57">
        <f t="shared" si="4"/>
        <v>239440</v>
      </c>
      <c r="S72" s="99">
        <f t="shared" si="5"/>
        <v>1813.939393939394</v>
      </c>
      <c r="T72" s="99">
        <v>7</v>
      </c>
      <c r="U72" s="100">
        <f t="shared" si="6"/>
        <v>12697.575757575758</v>
      </c>
    </row>
    <row r="73" spans="1:21" ht="42.75" customHeight="1" x14ac:dyDescent="0.3">
      <c r="A73" s="98" t="s">
        <v>231</v>
      </c>
      <c r="B73" s="46" t="s">
        <v>274</v>
      </c>
      <c r="C73" s="43" t="s">
        <v>229</v>
      </c>
      <c r="D73" s="51"/>
      <c r="E73" s="51">
        <v>0</v>
      </c>
      <c r="F73" s="51">
        <v>0</v>
      </c>
      <c r="G73" s="51">
        <v>0</v>
      </c>
      <c r="H73" s="51">
        <v>0</v>
      </c>
      <c r="I73" s="59">
        <v>10800</v>
      </c>
      <c r="J73" s="59">
        <v>67680</v>
      </c>
      <c r="K73" s="59">
        <v>0</v>
      </c>
      <c r="L73" s="59">
        <v>0</v>
      </c>
      <c r="M73" s="59">
        <v>0</v>
      </c>
      <c r="N73" s="59">
        <v>0</v>
      </c>
      <c r="O73" s="59">
        <v>0</v>
      </c>
      <c r="P73" s="59">
        <v>0</v>
      </c>
      <c r="Q73" s="59">
        <v>0</v>
      </c>
      <c r="R73" s="57">
        <f t="shared" si="4"/>
        <v>78480</v>
      </c>
      <c r="S73" s="99">
        <f t="shared" si="5"/>
        <v>594.5454545454545</v>
      </c>
      <c r="T73" s="99">
        <v>7</v>
      </c>
      <c r="U73" s="100">
        <f t="shared" si="6"/>
        <v>4161.818181818182</v>
      </c>
    </row>
    <row r="74" spans="1:21" ht="42.75" customHeight="1" x14ac:dyDescent="0.3">
      <c r="A74" s="98" t="s">
        <v>231</v>
      </c>
      <c r="B74" s="46" t="s">
        <v>273</v>
      </c>
      <c r="C74" s="43" t="s">
        <v>229</v>
      </c>
      <c r="D74" s="43"/>
      <c r="E74" s="43">
        <v>0</v>
      </c>
      <c r="F74" s="51">
        <v>0</v>
      </c>
      <c r="G74" s="51">
        <v>0</v>
      </c>
      <c r="H74" s="51">
        <v>35000</v>
      </c>
      <c r="I74" s="59">
        <v>1800</v>
      </c>
      <c r="J74" s="59">
        <v>11280</v>
      </c>
      <c r="K74" s="59">
        <v>0</v>
      </c>
      <c r="L74" s="59">
        <v>700</v>
      </c>
      <c r="M74" s="59">
        <v>0</v>
      </c>
      <c r="N74" s="59">
        <v>0</v>
      </c>
      <c r="O74" s="59">
        <v>0</v>
      </c>
      <c r="P74" s="59">
        <v>0</v>
      </c>
      <c r="Q74" s="59">
        <v>3500</v>
      </c>
      <c r="R74" s="57">
        <f t="shared" si="4"/>
        <v>52280</v>
      </c>
      <c r="S74" s="99">
        <f t="shared" si="5"/>
        <v>396.06060606060606</v>
      </c>
      <c r="T74" s="99">
        <v>7</v>
      </c>
      <c r="U74" s="100">
        <f t="shared" si="6"/>
        <v>2772.4242424242425</v>
      </c>
    </row>
    <row r="75" spans="1:21" ht="42.75" customHeight="1" x14ac:dyDescent="0.3">
      <c r="A75" s="98" t="s">
        <v>231</v>
      </c>
      <c r="B75" s="46" t="s">
        <v>272</v>
      </c>
      <c r="C75" s="43" t="s">
        <v>229</v>
      </c>
      <c r="D75" s="43"/>
      <c r="E75" s="43">
        <v>0</v>
      </c>
      <c r="F75" s="51">
        <v>0</v>
      </c>
      <c r="G75" s="51">
        <v>0</v>
      </c>
      <c r="H75" s="51">
        <v>28000</v>
      </c>
      <c r="I75" s="59">
        <v>720</v>
      </c>
      <c r="J75" s="59">
        <v>4512</v>
      </c>
      <c r="K75" s="59">
        <v>0</v>
      </c>
      <c r="L75" s="59">
        <v>560</v>
      </c>
      <c r="M75" s="59">
        <v>0</v>
      </c>
      <c r="N75" s="59">
        <v>0</v>
      </c>
      <c r="O75" s="59">
        <v>0</v>
      </c>
      <c r="P75" s="59">
        <v>0</v>
      </c>
      <c r="Q75" s="59">
        <v>2800</v>
      </c>
      <c r="R75" s="57">
        <f t="shared" si="4"/>
        <v>36592</v>
      </c>
      <c r="S75" s="99">
        <f t="shared" si="5"/>
        <v>277.21212121212119</v>
      </c>
      <c r="T75" s="99">
        <v>7</v>
      </c>
      <c r="U75" s="100">
        <f t="shared" si="6"/>
        <v>1940.4848484848483</v>
      </c>
    </row>
    <row r="76" spans="1:21" ht="42.75" customHeight="1" x14ac:dyDescent="0.3">
      <c r="A76" s="98" t="s">
        <v>231</v>
      </c>
      <c r="B76" s="46" t="s">
        <v>271</v>
      </c>
      <c r="C76" s="43" t="s">
        <v>229</v>
      </c>
      <c r="D76" s="43"/>
      <c r="E76" s="43">
        <v>0</v>
      </c>
      <c r="F76" s="51">
        <v>0</v>
      </c>
      <c r="G76" s="51">
        <v>0</v>
      </c>
      <c r="H76" s="51">
        <v>0</v>
      </c>
      <c r="I76" s="59">
        <v>1440</v>
      </c>
      <c r="J76" s="59">
        <v>0</v>
      </c>
      <c r="K76" s="59">
        <v>0</v>
      </c>
      <c r="L76" s="59">
        <v>0</v>
      </c>
      <c r="M76" s="59">
        <v>0</v>
      </c>
      <c r="N76" s="59">
        <v>0</v>
      </c>
      <c r="O76" s="59">
        <v>0</v>
      </c>
      <c r="P76" s="59">
        <v>0</v>
      </c>
      <c r="Q76" s="59">
        <v>0</v>
      </c>
      <c r="R76" s="57">
        <f t="shared" si="4"/>
        <v>1440</v>
      </c>
      <c r="S76" s="99">
        <f t="shared" si="5"/>
        <v>10.909090909090908</v>
      </c>
      <c r="T76" s="99">
        <v>7</v>
      </c>
      <c r="U76" s="100">
        <f t="shared" si="6"/>
        <v>76.36363636363636</v>
      </c>
    </row>
    <row r="77" spans="1:21" ht="42.75" customHeight="1" x14ac:dyDescent="0.3">
      <c r="A77" s="98" t="s">
        <v>231</v>
      </c>
      <c r="B77" s="46" t="s">
        <v>270</v>
      </c>
      <c r="C77" s="43" t="s">
        <v>229</v>
      </c>
      <c r="D77" s="51"/>
      <c r="E77" s="51">
        <v>0</v>
      </c>
      <c r="F77" s="51">
        <v>0</v>
      </c>
      <c r="G77" s="51">
        <v>0</v>
      </c>
      <c r="H77" s="51">
        <v>0</v>
      </c>
      <c r="I77" s="59">
        <v>10800</v>
      </c>
      <c r="J77" s="59">
        <v>67680</v>
      </c>
      <c r="K77" s="59">
        <v>0</v>
      </c>
      <c r="L77" s="59">
        <v>0</v>
      </c>
      <c r="M77" s="59">
        <v>0</v>
      </c>
      <c r="N77" s="59">
        <v>0</v>
      </c>
      <c r="O77" s="59">
        <v>0</v>
      </c>
      <c r="P77" s="59">
        <v>0</v>
      </c>
      <c r="Q77" s="59">
        <v>0</v>
      </c>
      <c r="R77" s="57">
        <f t="shared" si="4"/>
        <v>78480</v>
      </c>
      <c r="S77" s="99">
        <f t="shared" si="5"/>
        <v>594.5454545454545</v>
      </c>
      <c r="T77" s="99">
        <v>7</v>
      </c>
      <c r="U77" s="100">
        <f t="shared" si="6"/>
        <v>4161.818181818182</v>
      </c>
    </row>
    <row r="78" spans="1:21" ht="42.75" customHeight="1" x14ac:dyDescent="0.3">
      <c r="A78" s="98" t="s">
        <v>231</v>
      </c>
      <c r="B78" s="46" t="s">
        <v>269</v>
      </c>
      <c r="C78" s="43" t="s">
        <v>229</v>
      </c>
      <c r="D78" s="51"/>
      <c r="E78" s="51">
        <v>0</v>
      </c>
      <c r="F78" s="51">
        <v>0</v>
      </c>
      <c r="G78" s="51">
        <v>0</v>
      </c>
      <c r="H78" s="51">
        <v>28000</v>
      </c>
      <c r="I78" s="59">
        <v>1440</v>
      </c>
      <c r="J78" s="59">
        <v>0</v>
      </c>
      <c r="K78" s="59">
        <v>0</v>
      </c>
      <c r="L78" s="59">
        <v>560</v>
      </c>
      <c r="M78" s="59">
        <v>0</v>
      </c>
      <c r="N78" s="59">
        <v>0</v>
      </c>
      <c r="O78" s="59">
        <v>0</v>
      </c>
      <c r="P78" s="59">
        <v>0</v>
      </c>
      <c r="Q78" s="59">
        <v>2800</v>
      </c>
      <c r="R78" s="57">
        <f t="shared" si="4"/>
        <v>32800</v>
      </c>
      <c r="S78" s="99">
        <f t="shared" si="5"/>
        <v>248.4848484848485</v>
      </c>
      <c r="T78" s="99">
        <v>7</v>
      </c>
      <c r="U78" s="100">
        <f t="shared" si="6"/>
        <v>1739.3939393939395</v>
      </c>
    </row>
    <row r="79" spans="1:21" ht="42.75" customHeight="1" x14ac:dyDescent="0.3">
      <c r="A79" s="98" t="s">
        <v>231</v>
      </c>
      <c r="B79" s="46" t="s">
        <v>268</v>
      </c>
      <c r="C79" s="43" t="s">
        <v>229</v>
      </c>
      <c r="D79" s="51"/>
      <c r="E79" s="51">
        <v>0</v>
      </c>
      <c r="F79" s="51">
        <v>0</v>
      </c>
      <c r="G79" s="51">
        <v>0</v>
      </c>
      <c r="H79" s="51">
        <v>21000</v>
      </c>
      <c r="I79" s="59">
        <v>540</v>
      </c>
      <c r="J79" s="59">
        <v>3384</v>
      </c>
      <c r="K79" s="59">
        <v>0</v>
      </c>
      <c r="L79" s="59">
        <v>420</v>
      </c>
      <c r="M79" s="59">
        <v>0</v>
      </c>
      <c r="N79" s="59">
        <v>0</v>
      </c>
      <c r="O79" s="59">
        <v>0</v>
      </c>
      <c r="P79" s="59">
        <v>0</v>
      </c>
      <c r="Q79" s="59">
        <v>2100</v>
      </c>
      <c r="R79" s="57">
        <f t="shared" si="4"/>
        <v>27444</v>
      </c>
      <c r="S79" s="99">
        <f t="shared" si="5"/>
        <v>207.90909090909091</v>
      </c>
      <c r="T79" s="99">
        <v>7</v>
      </c>
      <c r="U79" s="100">
        <f t="shared" si="6"/>
        <v>1455.3636363636363</v>
      </c>
    </row>
    <row r="80" spans="1:21" ht="42.75" customHeight="1" x14ac:dyDescent="0.3">
      <c r="A80" s="98" t="s">
        <v>231</v>
      </c>
      <c r="B80" s="46" t="s">
        <v>267</v>
      </c>
      <c r="C80" s="43" t="s">
        <v>240</v>
      </c>
      <c r="D80" s="51"/>
      <c r="E80" s="51">
        <v>120</v>
      </c>
      <c r="F80" s="51">
        <v>120</v>
      </c>
      <c r="G80" s="51">
        <v>30</v>
      </c>
      <c r="H80" s="51">
        <v>1400</v>
      </c>
      <c r="I80" s="59">
        <v>120</v>
      </c>
      <c r="J80" s="59">
        <v>846</v>
      </c>
      <c r="K80" s="59">
        <v>141</v>
      </c>
      <c r="L80" s="59">
        <v>28</v>
      </c>
      <c r="M80" s="59">
        <v>70</v>
      </c>
      <c r="N80" s="59">
        <v>1200</v>
      </c>
      <c r="O80" s="59">
        <v>700</v>
      </c>
      <c r="P80" s="59">
        <v>210</v>
      </c>
      <c r="Q80" s="59">
        <v>140</v>
      </c>
      <c r="R80" s="57">
        <f t="shared" si="4"/>
        <v>5125</v>
      </c>
      <c r="S80" s="99">
        <f t="shared" si="5"/>
        <v>38.825757575757578</v>
      </c>
      <c r="T80" s="99">
        <v>7</v>
      </c>
      <c r="U80" s="100">
        <f t="shared" si="6"/>
        <v>271.78030303030306</v>
      </c>
    </row>
    <row r="81" spans="1:21" ht="42.75" customHeight="1" x14ac:dyDescent="0.3">
      <c r="A81" s="98" t="s">
        <v>231</v>
      </c>
      <c r="B81" s="46" t="s">
        <v>266</v>
      </c>
      <c r="C81" s="43" t="s">
        <v>229</v>
      </c>
      <c r="D81" s="51"/>
      <c r="E81" s="51">
        <v>0</v>
      </c>
      <c r="F81" s="51">
        <v>0</v>
      </c>
      <c r="G81" s="51">
        <v>0</v>
      </c>
      <c r="H81" s="51">
        <v>56000</v>
      </c>
      <c r="I81" s="59">
        <v>2880</v>
      </c>
      <c r="J81" s="59">
        <v>9024</v>
      </c>
      <c r="K81" s="59">
        <v>0</v>
      </c>
      <c r="L81" s="59">
        <v>1120</v>
      </c>
      <c r="M81" s="59">
        <v>0</v>
      </c>
      <c r="N81" s="59">
        <v>0</v>
      </c>
      <c r="O81" s="59">
        <v>0</v>
      </c>
      <c r="P81" s="59">
        <v>0</v>
      </c>
      <c r="Q81" s="59">
        <v>5600</v>
      </c>
      <c r="R81" s="57">
        <f t="shared" si="4"/>
        <v>74624</v>
      </c>
      <c r="S81" s="99">
        <f t="shared" si="5"/>
        <v>565.33333333333337</v>
      </c>
      <c r="T81" s="99">
        <v>7</v>
      </c>
      <c r="U81" s="100">
        <f t="shared" si="6"/>
        <v>3957.3333333333335</v>
      </c>
    </row>
    <row r="82" spans="1:21" ht="42.75" customHeight="1" x14ac:dyDescent="0.3">
      <c r="A82" s="98" t="s">
        <v>231</v>
      </c>
      <c r="B82" s="46" t="s">
        <v>265</v>
      </c>
      <c r="C82" s="43" t="s">
        <v>229</v>
      </c>
      <c r="D82" s="43"/>
      <c r="E82" s="43">
        <v>0</v>
      </c>
      <c r="F82" s="51">
        <v>0</v>
      </c>
      <c r="G82" s="51">
        <v>0</v>
      </c>
      <c r="H82" s="51">
        <v>42000</v>
      </c>
      <c r="I82" s="59">
        <v>1080</v>
      </c>
      <c r="J82" s="59">
        <v>6768</v>
      </c>
      <c r="K82" s="59">
        <v>0</v>
      </c>
      <c r="L82" s="59">
        <v>840</v>
      </c>
      <c r="M82" s="59">
        <v>0</v>
      </c>
      <c r="N82" s="59">
        <v>0</v>
      </c>
      <c r="O82" s="59">
        <v>0</v>
      </c>
      <c r="P82" s="59">
        <v>0</v>
      </c>
      <c r="Q82" s="59">
        <v>4200</v>
      </c>
      <c r="R82" s="57">
        <f t="shared" si="4"/>
        <v>54888</v>
      </c>
      <c r="S82" s="99">
        <f t="shared" si="5"/>
        <v>415.81818181818181</v>
      </c>
      <c r="T82" s="99">
        <v>7</v>
      </c>
      <c r="U82" s="100">
        <f t="shared" si="6"/>
        <v>2910.7272727272725</v>
      </c>
    </row>
    <row r="83" spans="1:21" ht="42.75" customHeight="1" x14ac:dyDescent="0.3">
      <c r="A83" s="98" t="s">
        <v>264</v>
      </c>
      <c r="B83" s="46" t="s">
        <v>263</v>
      </c>
      <c r="C83" s="43" t="s">
        <v>229</v>
      </c>
      <c r="D83" s="102" t="s">
        <v>262</v>
      </c>
      <c r="E83" s="51">
        <v>120</v>
      </c>
      <c r="F83" s="51">
        <v>60</v>
      </c>
      <c r="G83" s="51">
        <v>60</v>
      </c>
      <c r="H83" s="51">
        <v>1400</v>
      </c>
      <c r="I83" s="59">
        <v>180</v>
      </c>
      <c r="J83" s="59">
        <v>564</v>
      </c>
      <c r="K83" s="59">
        <v>282</v>
      </c>
      <c r="L83" s="59">
        <v>28</v>
      </c>
      <c r="M83" s="59">
        <v>70</v>
      </c>
      <c r="N83" s="59">
        <v>600</v>
      </c>
      <c r="O83" s="59">
        <v>1400</v>
      </c>
      <c r="P83" s="59">
        <v>210</v>
      </c>
      <c r="Q83" s="59">
        <v>140</v>
      </c>
      <c r="R83" s="57">
        <f t="shared" si="4"/>
        <v>5114</v>
      </c>
      <c r="S83" s="99">
        <f t="shared" si="5"/>
        <v>38.742424242424242</v>
      </c>
      <c r="T83" s="99">
        <v>14</v>
      </c>
      <c r="U83" s="100">
        <f t="shared" si="6"/>
        <v>542.39393939393938</v>
      </c>
    </row>
    <row r="84" spans="1:21" ht="42.75" customHeight="1" x14ac:dyDescent="0.3">
      <c r="A84" s="98" t="s">
        <v>231</v>
      </c>
      <c r="B84" s="46" t="s">
        <v>261</v>
      </c>
      <c r="C84" s="43" t="s">
        <v>260</v>
      </c>
      <c r="D84" s="43"/>
      <c r="E84" s="43">
        <v>0</v>
      </c>
      <c r="F84" s="51">
        <v>0</v>
      </c>
      <c r="G84" s="51">
        <v>0</v>
      </c>
      <c r="H84" s="51">
        <v>0</v>
      </c>
      <c r="I84" s="59">
        <v>80.099999999999994</v>
      </c>
      <c r="J84" s="59">
        <v>501.96</v>
      </c>
      <c r="K84" s="59">
        <v>0</v>
      </c>
      <c r="L84" s="59">
        <v>0</v>
      </c>
      <c r="M84" s="59">
        <v>0</v>
      </c>
      <c r="N84" s="59">
        <v>0</v>
      </c>
      <c r="O84" s="59">
        <v>0</v>
      </c>
      <c r="P84" s="59">
        <v>0</v>
      </c>
      <c r="Q84" s="59">
        <v>0</v>
      </c>
      <c r="R84" s="57">
        <f t="shared" si="4"/>
        <v>582.05999999999995</v>
      </c>
      <c r="S84" s="99">
        <f t="shared" si="5"/>
        <v>4.4095454545454542</v>
      </c>
      <c r="T84" s="99">
        <v>7</v>
      </c>
      <c r="U84" s="100">
        <f t="shared" si="6"/>
        <v>30.866818181818179</v>
      </c>
    </row>
    <row r="85" spans="1:21" ht="42.75" customHeight="1" x14ac:dyDescent="0.3">
      <c r="A85" s="98" t="s">
        <v>256</v>
      </c>
      <c r="B85" s="46" t="s">
        <v>259</v>
      </c>
      <c r="C85" s="43" t="s">
        <v>233</v>
      </c>
      <c r="D85" s="101" t="s">
        <v>232</v>
      </c>
      <c r="E85" s="43">
        <v>3547.6200000000003</v>
      </c>
      <c r="F85" s="51">
        <v>0</v>
      </c>
      <c r="G85" s="51">
        <v>0</v>
      </c>
      <c r="H85" s="51">
        <v>13272</v>
      </c>
      <c r="I85" s="59">
        <v>341.28</v>
      </c>
      <c r="J85" s="59">
        <v>2143.1999999999998</v>
      </c>
      <c r="K85" s="59">
        <v>0</v>
      </c>
      <c r="L85" s="59">
        <v>265.44</v>
      </c>
      <c r="M85" s="59">
        <v>1620.7939999999999</v>
      </c>
      <c r="N85" s="59">
        <v>0</v>
      </c>
      <c r="O85" s="59">
        <v>0</v>
      </c>
      <c r="P85" s="59">
        <v>4862.3819999999996</v>
      </c>
      <c r="Q85" s="59">
        <v>1327.2</v>
      </c>
      <c r="R85" s="57">
        <f t="shared" si="4"/>
        <v>27379.915999999994</v>
      </c>
      <c r="S85" s="99">
        <f t="shared" si="5"/>
        <v>207.42360606060601</v>
      </c>
      <c r="T85" s="99">
        <v>14</v>
      </c>
      <c r="U85" s="100">
        <f t="shared" si="6"/>
        <v>2903.930484848484</v>
      </c>
    </row>
    <row r="86" spans="1:21" ht="42.75" customHeight="1" x14ac:dyDescent="0.3">
      <c r="A86" s="98" t="s">
        <v>256</v>
      </c>
      <c r="B86" s="46" t="s">
        <v>258</v>
      </c>
      <c r="C86" s="43" t="s">
        <v>233</v>
      </c>
      <c r="D86" s="102" t="s">
        <v>232</v>
      </c>
      <c r="E86" s="51">
        <v>0</v>
      </c>
      <c r="F86" s="51">
        <v>0</v>
      </c>
      <c r="G86" s="51">
        <v>1134.1848</v>
      </c>
      <c r="H86" s="51">
        <v>31703</v>
      </c>
      <c r="I86" s="59">
        <v>959.94</v>
      </c>
      <c r="J86" s="59">
        <v>5056.8239999999996</v>
      </c>
      <c r="K86" s="59">
        <v>5330.6685600000001</v>
      </c>
      <c r="L86" s="59">
        <v>634.05999999999995</v>
      </c>
      <c r="M86" s="59">
        <v>0</v>
      </c>
      <c r="N86" s="59">
        <v>0</v>
      </c>
      <c r="O86" s="59">
        <v>26464.311999999998</v>
      </c>
      <c r="P86" s="59">
        <v>0</v>
      </c>
      <c r="Q86" s="59">
        <v>3170.2999999999997</v>
      </c>
      <c r="R86" s="57">
        <f t="shared" si="4"/>
        <v>74453.28936000001</v>
      </c>
      <c r="S86" s="99">
        <f t="shared" si="5"/>
        <v>564.04007090909101</v>
      </c>
      <c r="T86" s="99">
        <v>14</v>
      </c>
      <c r="U86" s="100">
        <f t="shared" si="6"/>
        <v>7896.5609927272744</v>
      </c>
    </row>
    <row r="87" spans="1:21" ht="42.75" customHeight="1" x14ac:dyDescent="0.3">
      <c r="A87" s="98" t="s">
        <v>256</v>
      </c>
      <c r="B87" s="46" t="s">
        <v>255</v>
      </c>
      <c r="C87" s="43" t="s">
        <v>233</v>
      </c>
      <c r="D87" s="102" t="s">
        <v>232</v>
      </c>
      <c r="E87" s="51">
        <v>1377</v>
      </c>
      <c r="F87" s="51">
        <v>0</v>
      </c>
      <c r="G87" s="51">
        <v>0</v>
      </c>
      <c r="H87" s="51">
        <v>0</v>
      </c>
      <c r="I87" s="59">
        <v>0</v>
      </c>
      <c r="J87" s="59">
        <v>0</v>
      </c>
      <c r="K87" s="59">
        <v>0</v>
      </c>
      <c r="L87" s="59">
        <v>0</v>
      </c>
      <c r="M87" s="59">
        <v>0</v>
      </c>
      <c r="N87" s="59">
        <v>0</v>
      </c>
      <c r="O87" s="59">
        <v>0</v>
      </c>
      <c r="P87" s="59">
        <v>0</v>
      </c>
      <c r="Q87" s="59">
        <v>0</v>
      </c>
      <c r="R87" s="57">
        <f t="shared" si="4"/>
        <v>1377</v>
      </c>
      <c r="S87" s="99">
        <f t="shared" si="5"/>
        <v>10.431818181818182</v>
      </c>
      <c r="T87" s="99">
        <v>14</v>
      </c>
      <c r="U87" s="100">
        <f t="shared" si="6"/>
        <v>146.04545454545453</v>
      </c>
    </row>
    <row r="88" spans="1:21" ht="42.75" customHeight="1" x14ac:dyDescent="0.3">
      <c r="A88" s="98" t="s">
        <v>254</v>
      </c>
      <c r="B88" s="46" t="s">
        <v>253</v>
      </c>
      <c r="C88" s="43" t="s">
        <v>240</v>
      </c>
      <c r="D88" s="102" t="s">
        <v>250</v>
      </c>
      <c r="E88" s="51">
        <v>120</v>
      </c>
      <c r="F88" s="51">
        <v>180</v>
      </c>
      <c r="G88" s="51">
        <v>60</v>
      </c>
      <c r="H88" s="51">
        <v>4200</v>
      </c>
      <c r="I88" s="59">
        <v>60</v>
      </c>
      <c r="J88" s="59">
        <v>564</v>
      </c>
      <c r="K88" s="59">
        <v>282</v>
      </c>
      <c r="L88" s="59">
        <v>84</v>
      </c>
      <c r="M88" s="59">
        <v>140</v>
      </c>
      <c r="N88" s="59">
        <v>1800</v>
      </c>
      <c r="O88" s="59">
        <v>1400</v>
      </c>
      <c r="P88" s="59">
        <v>420</v>
      </c>
      <c r="Q88" s="59">
        <v>420</v>
      </c>
      <c r="R88" s="57">
        <f t="shared" si="4"/>
        <v>9730</v>
      </c>
      <c r="S88" s="99">
        <f t="shared" si="5"/>
        <v>73.712121212121218</v>
      </c>
      <c r="T88" s="99">
        <v>14</v>
      </c>
      <c r="U88" s="100">
        <f t="shared" si="6"/>
        <v>1031.969696969697</v>
      </c>
    </row>
    <row r="89" spans="1:21" ht="54.75" customHeight="1" x14ac:dyDescent="0.3">
      <c r="A89" s="98" t="s">
        <v>252</v>
      </c>
      <c r="B89" s="46" t="s">
        <v>251</v>
      </c>
      <c r="C89" s="43" t="s">
        <v>240</v>
      </c>
      <c r="D89" s="102" t="s">
        <v>250</v>
      </c>
      <c r="E89" s="51">
        <v>120</v>
      </c>
      <c r="F89" s="51">
        <v>60</v>
      </c>
      <c r="G89" s="51">
        <v>60</v>
      </c>
      <c r="H89" s="51">
        <v>1400</v>
      </c>
      <c r="I89" s="59">
        <v>120</v>
      </c>
      <c r="J89" s="59">
        <v>846</v>
      </c>
      <c r="K89" s="59">
        <v>282</v>
      </c>
      <c r="L89" s="59">
        <v>28</v>
      </c>
      <c r="M89" s="59">
        <v>140</v>
      </c>
      <c r="N89" s="59">
        <v>600</v>
      </c>
      <c r="O89" s="59">
        <v>1400</v>
      </c>
      <c r="P89" s="59">
        <v>420</v>
      </c>
      <c r="Q89" s="59">
        <v>140</v>
      </c>
      <c r="R89" s="57">
        <f t="shared" si="4"/>
        <v>5616</v>
      </c>
      <c r="S89" s="99">
        <f t="shared" si="5"/>
        <v>42.545454545454547</v>
      </c>
      <c r="T89" s="99">
        <v>14</v>
      </c>
      <c r="U89" s="100">
        <f t="shared" si="6"/>
        <v>595.63636363636363</v>
      </c>
    </row>
    <row r="90" spans="1:21" ht="42.75" customHeight="1" x14ac:dyDescent="0.3">
      <c r="A90" s="98" t="s">
        <v>231</v>
      </c>
      <c r="B90" s="46" t="s">
        <v>249</v>
      </c>
      <c r="C90" s="43" t="s">
        <v>229</v>
      </c>
      <c r="D90" s="43"/>
      <c r="E90" s="43">
        <v>0</v>
      </c>
      <c r="F90" s="51">
        <v>0</v>
      </c>
      <c r="G90" s="51">
        <v>0</v>
      </c>
      <c r="H90" s="51">
        <v>7000</v>
      </c>
      <c r="I90" s="59">
        <v>180</v>
      </c>
      <c r="J90" s="59">
        <v>1128</v>
      </c>
      <c r="K90" s="59">
        <v>0</v>
      </c>
      <c r="L90" s="59">
        <v>140</v>
      </c>
      <c r="M90" s="59">
        <v>0</v>
      </c>
      <c r="N90" s="59">
        <v>0</v>
      </c>
      <c r="O90" s="59">
        <v>0</v>
      </c>
      <c r="P90" s="59">
        <v>0</v>
      </c>
      <c r="Q90" s="59">
        <v>700</v>
      </c>
      <c r="R90" s="57">
        <f t="shared" si="4"/>
        <v>9148</v>
      </c>
      <c r="S90" s="99">
        <f t="shared" si="5"/>
        <v>69.303030303030297</v>
      </c>
      <c r="T90" s="99">
        <v>7</v>
      </c>
      <c r="U90" s="100">
        <f t="shared" si="6"/>
        <v>485.12121212121207</v>
      </c>
    </row>
    <row r="91" spans="1:21" ht="42.75" customHeight="1" x14ac:dyDescent="0.3">
      <c r="A91" s="98" t="s">
        <v>231</v>
      </c>
      <c r="B91" s="46" t="s">
        <v>248</v>
      </c>
      <c r="C91" s="43" t="s">
        <v>229</v>
      </c>
      <c r="D91" s="43"/>
      <c r="E91" s="43">
        <v>300</v>
      </c>
      <c r="F91" s="51">
        <v>0</v>
      </c>
      <c r="G91" s="51">
        <v>0</v>
      </c>
      <c r="H91" s="51">
        <v>3500</v>
      </c>
      <c r="I91" s="59">
        <v>180</v>
      </c>
      <c r="J91" s="59">
        <v>1128</v>
      </c>
      <c r="K91" s="59">
        <v>0</v>
      </c>
      <c r="L91" s="59">
        <v>70</v>
      </c>
      <c r="M91" s="59">
        <v>280</v>
      </c>
      <c r="N91" s="59">
        <v>0</v>
      </c>
      <c r="O91" s="59">
        <v>0</v>
      </c>
      <c r="P91" s="59">
        <v>840</v>
      </c>
      <c r="Q91" s="59">
        <v>350</v>
      </c>
      <c r="R91" s="57">
        <f t="shared" si="4"/>
        <v>6648</v>
      </c>
      <c r="S91" s="99">
        <f t="shared" si="5"/>
        <v>50.363636363636367</v>
      </c>
      <c r="T91" s="99">
        <v>7</v>
      </c>
      <c r="U91" s="100">
        <f t="shared" si="6"/>
        <v>352.54545454545456</v>
      </c>
    </row>
    <row r="92" spans="1:21" ht="42.75" customHeight="1" x14ac:dyDescent="0.3">
      <c r="A92" s="98" t="s">
        <v>231</v>
      </c>
      <c r="B92" s="46" t="s">
        <v>247</v>
      </c>
      <c r="C92" s="43" t="s">
        <v>229</v>
      </c>
      <c r="D92" s="43"/>
      <c r="E92" s="43">
        <v>150</v>
      </c>
      <c r="F92" s="51">
        <v>120</v>
      </c>
      <c r="G92" s="51">
        <v>30</v>
      </c>
      <c r="H92" s="51">
        <v>4200</v>
      </c>
      <c r="I92" s="59">
        <v>120</v>
      </c>
      <c r="J92" s="59">
        <v>846</v>
      </c>
      <c r="K92" s="59">
        <v>141</v>
      </c>
      <c r="L92" s="59">
        <v>84</v>
      </c>
      <c r="M92" s="59">
        <v>280</v>
      </c>
      <c r="N92" s="59">
        <v>1200</v>
      </c>
      <c r="O92" s="59">
        <v>700</v>
      </c>
      <c r="P92" s="59">
        <v>840</v>
      </c>
      <c r="Q92" s="59">
        <v>420</v>
      </c>
      <c r="R92" s="57">
        <f t="shared" si="4"/>
        <v>9131</v>
      </c>
      <c r="S92" s="99">
        <f t="shared" si="5"/>
        <v>69.174242424242422</v>
      </c>
      <c r="T92" s="99">
        <v>7</v>
      </c>
      <c r="U92" s="100">
        <f t="shared" si="6"/>
        <v>484.21969696969694</v>
      </c>
    </row>
    <row r="93" spans="1:21" ht="42.75" customHeight="1" x14ac:dyDescent="0.3">
      <c r="A93" s="98" t="s">
        <v>231</v>
      </c>
      <c r="B93" s="46" t="s">
        <v>246</v>
      </c>
      <c r="C93" s="43" t="s">
        <v>229</v>
      </c>
      <c r="D93" s="43"/>
      <c r="E93" s="43">
        <v>150</v>
      </c>
      <c r="F93" s="51">
        <v>120</v>
      </c>
      <c r="G93" s="51">
        <v>60</v>
      </c>
      <c r="H93" s="51">
        <v>2800</v>
      </c>
      <c r="I93" s="59">
        <v>60</v>
      </c>
      <c r="J93" s="59">
        <v>987</v>
      </c>
      <c r="K93" s="59">
        <v>282</v>
      </c>
      <c r="L93" s="59">
        <v>56</v>
      </c>
      <c r="M93" s="59">
        <v>315</v>
      </c>
      <c r="N93" s="59">
        <v>1200</v>
      </c>
      <c r="O93" s="59">
        <v>1400</v>
      </c>
      <c r="P93" s="59">
        <v>945</v>
      </c>
      <c r="Q93" s="59">
        <v>280</v>
      </c>
      <c r="R93" s="57">
        <f t="shared" si="4"/>
        <v>8655</v>
      </c>
      <c r="S93" s="99">
        <f t="shared" si="5"/>
        <v>65.568181818181813</v>
      </c>
      <c r="T93" s="99">
        <v>7</v>
      </c>
      <c r="U93" s="100">
        <f t="shared" si="6"/>
        <v>458.97727272727269</v>
      </c>
    </row>
    <row r="94" spans="1:21" ht="42.75" customHeight="1" x14ac:dyDescent="0.3">
      <c r="A94" s="98" t="s">
        <v>231</v>
      </c>
      <c r="B94" s="46" t="s">
        <v>244</v>
      </c>
      <c r="C94" s="43" t="s">
        <v>240</v>
      </c>
      <c r="D94" s="43"/>
      <c r="E94" s="43">
        <v>5700</v>
      </c>
      <c r="F94" s="51">
        <v>0</v>
      </c>
      <c r="G94" s="51">
        <v>0</v>
      </c>
      <c r="H94" s="51">
        <v>101500</v>
      </c>
      <c r="I94" s="59">
        <v>3060</v>
      </c>
      <c r="J94" s="59">
        <v>19176</v>
      </c>
      <c r="K94" s="59">
        <v>0</v>
      </c>
      <c r="L94" s="59">
        <v>2030</v>
      </c>
      <c r="M94" s="59">
        <v>9660</v>
      </c>
      <c r="N94" s="59">
        <v>0</v>
      </c>
      <c r="O94" s="59">
        <v>0</v>
      </c>
      <c r="P94" s="59">
        <v>28980</v>
      </c>
      <c r="Q94" s="59">
        <v>10150</v>
      </c>
      <c r="R94" s="57">
        <f t="shared" si="4"/>
        <v>180256</v>
      </c>
      <c r="S94" s="99">
        <f t="shared" si="5"/>
        <v>1365.5757575757575</v>
      </c>
      <c r="T94" s="99">
        <v>7</v>
      </c>
      <c r="U94" s="100">
        <f t="shared" si="6"/>
        <v>9559.0303030303021</v>
      </c>
    </row>
    <row r="95" spans="1:21" ht="42.75" customHeight="1" x14ac:dyDescent="0.3">
      <c r="A95" s="98" t="s">
        <v>231</v>
      </c>
      <c r="B95" s="46" t="s">
        <v>243</v>
      </c>
      <c r="C95" s="43" t="s">
        <v>229</v>
      </c>
      <c r="D95" s="43"/>
      <c r="E95" s="43">
        <v>10.500000000000002</v>
      </c>
      <c r="F95" s="51">
        <v>0</v>
      </c>
      <c r="G95" s="51">
        <v>0</v>
      </c>
      <c r="H95" s="51">
        <v>140</v>
      </c>
      <c r="I95" s="59">
        <v>3.5999999999999996</v>
      </c>
      <c r="J95" s="59">
        <v>22.56</v>
      </c>
      <c r="K95" s="59">
        <v>0</v>
      </c>
      <c r="L95" s="59">
        <v>2.8000000000000003</v>
      </c>
      <c r="M95" s="59">
        <v>16.8</v>
      </c>
      <c r="N95" s="59">
        <v>0</v>
      </c>
      <c r="O95" s="59">
        <v>0</v>
      </c>
      <c r="P95" s="59">
        <v>50.4</v>
      </c>
      <c r="Q95" s="59">
        <v>14</v>
      </c>
      <c r="R95" s="57">
        <f t="shared" si="4"/>
        <v>260.66000000000003</v>
      </c>
      <c r="S95" s="99">
        <f t="shared" si="5"/>
        <v>1.9746969696969698</v>
      </c>
      <c r="T95" s="99">
        <v>7</v>
      </c>
      <c r="U95" s="100">
        <f t="shared" si="6"/>
        <v>13.822878787878789</v>
      </c>
    </row>
    <row r="96" spans="1:21" ht="42.75" customHeight="1" x14ac:dyDescent="0.3">
      <c r="A96" s="98" t="s">
        <v>231</v>
      </c>
      <c r="B96" s="46" t="s">
        <v>242</v>
      </c>
      <c r="C96" s="43" t="s">
        <v>229</v>
      </c>
      <c r="D96" s="43"/>
      <c r="E96" s="43">
        <v>45</v>
      </c>
      <c r="F96" s="51">
        <v>0</v>
      </c>
      <c r="G96" s="51">
        <v>0</v>
      </c>
      <c r="H96" s="51">
        <v>0</v>
      </c>
      <c r="I96" s="59">
        <v>0</v>
      </c>
      <c r="J96" s="59">
        <v>0</v>
      </c>
      <c r="K96" s="59">
        <v>0</v>
      </c>
      <c r="L96" s="59">
        <v>0</v>
      </c>
      <c r="M96" s="59">
        <v>28</v>
      </c>
      <c r="N96" s="59">
        <v>0</v>
      </c>
      <c r="O96" s="59">
        <v>0</v>
      </c>
      <c r="P96" s="59">
        <v>84</v>
      </c>
      <c r="Q96" s="59">
        <v>0</v>
      </c>
      <c r="R96" s="57">
        <f t="shared" si="4"/>
        <v>157</v>
      </c>
      <c r="S96" s="99">
        <f t="shared" si="5"/>
        <v>1.1893939393939394</v>
      </c>
      <c r="T96" s="99">
        <v>7</v>
      </c>
      <c r="U96" s="100">
        <f t="shared" si="6"/>
        <v>8.3257575757575761</v>
      </c>
    </row>
    <row r="97" spans="1:21" ht="42.75" customHeight="1" x14ac:dyDescent="0.3">
      <c r="A97" s="98" t="s">
        <v>231</v>
      </c>
      <c r="B97" s="46" t="s">
        <v>241</v>
      </c>
      <c r="C97" s="43" t="s">
        <v>240</v>
      </c>
      <c r="D97" s="43"/>
      <c r="E97" s="43">
        <v>0</v>
      </c>
      <c r="F97" s="51">
        <v>0</v>
      </c>
      <c r="G97" s="51">
        <v>0</v>
      </c>
      <c r="H97" s="51">
        <v>28000</v>
      </c>
      <c r="I97" s="59">
        <v>1440</v>
      </c>
      <c r="J97" s="59">
        <v>9024</v>
      </c>
      <c r="K97" s="59">
        <v>0</v>
      </c>
      <c r="L97" s="59">
        <v>560</v>
      </c>
      <c r="M97" s="59">
        <v>0</v>
      </c>
      <c r="N97" s="59">
        <v>0</v>
      </c>
      <c r="O97" s="59">
        <v>0</v>
      </c>
      <c r="P97" s="59">
        <v>0</v>
      </c>
      <c r="Q97" s="59">
        <v>2800</v>
      </c>
      <c r="R97" s="57">
        <f t="shared" si="4"/>
        <v>41824</v>
      </c>
      <c r="S97" s="99">
        <f t="shared" si="5"/>
        <v>316.84848484848487</v>
      </c>
      <c r="T97" s="99">
        <v>7</v>
      </c>
      <c r="U97" s="100">
        <f t="shared" si="6"/>
        <v>2217.939393939394</v>
      </c>
    </row>
    <row r="98" spans="1:21" ht="42.75" customHeight="1" x14ac:dyDescent="0.3">
      <c r="A98" s="98" t="s">
        <v>231</v>
      </c>
      <c r="B98" s="46" t="s">
        <v>239</v>
      </c>
      <c r="C98" s="43" t="s">
        <v>229</v>
      </c>
      <c r="D98" s="43"/>
      <c r="E98" s="43">
        <v>0</v>
      </c>
      <c r="F98" s="51">
        <v>0</v>
      </c>
      <c r="G98" s="51">
        <v>0</v>
      </c>
      <c r="H98" s="51">
        <v>350</v>
      </c>
      <c r="I98" s="59">
        <v>18.000000000000004</v>
      </c>
      <c r="J98" s="59">
        <v>112.80000000000001</v>
      </c>
      <c r="K98" s="59">
        <v>0</v>
      </c>
      <c r="L98" s="59">
        <v>7</v>
      </c>
      <c r="M98" s="59">
        <v>0</v>
      </c>
      <c r="N98" s="59">
        <v>0</v>
      </c>
      <c r="O98" s="59">
        <v>0</v>
      </c>
      <c r="P98" s="59">
        <v>0</v>
      </c>
      <c r="Q98" s="59">
        <v>35</v>
      </c>
      <c r="R98" s="57">
        <f t="shared" ref="R98:R104" si="7">SUM(E98:Q98)</f>
        <v>522.79999999999995</v>
      </c>
      <c r="S98" s="99">
        <f t="shared" si="5"/>
        <v>3.9606060606060605</v>
      </c>
      <c r="T98" s="99">
        <v>7</v>
      </c>
      <c r="U98" s="100">
        <f t="shared" si="6"/>
        <v>27.724242424242423</v>
      </c>
    </row>
    <row r="99" spans="1:21" ht="42.75" customHeight="1" x14ac:dyDescent="0.3">
      <c r="A99" s="98" t="s">
        <v>231</v>
      </c>
      <c r="B99" s="46" t="s">
        <v>238</v>
      </c>
      <c r="C99" s="43" t="s">
        <v>229</v>
      </c>
      <c r="D99" s="43"/>
      <c r="E99" s="43">
        <v>27000</v>
      </c>
      <c r="F99" s="51">
        <v>0</v>
      </c>
      <c r="G99" s="51">
        <v>0</v>
      </c>
      <c r="H99" s="51">
        <v>420000</v>
      </c>
      <c r="I99" s="59">
        <v>10800</v>
      </c>
      <c r="J99" s="59">
        <v>67680</v>
      </c>
      <c r="K99" s="59">
        <v>0</v>
      </c>
      <c r="L99" s="59">
        <v>8400</v>
      </c>
      <c r="M99" s="59">
        <v>16800</v>
      </c>
      <c r="N99" s="59">
        <v>0</v>
      </c>
      <c r="O99" s="59">
        <v>0</v>
      </c>
      <c r="P99" s="59">
        <v>50400</v>
      </c>
      <c r="Q99" s="59">
        <v>42000</v>
      </c>
      <c r="R99" s="57">
        <f t="shared" si="7"/>
        <v>643080</v>
      </c>
      <c r="S99" s="99">
        <f t="shared" si="5"/>
        <v>4871.818181818182</v>
      </c>
      <c r="T99" s="99">
        <v>7</v>
      </c>
      <c r="U99" s="100">
        <f t="shared" si="6"/>
        <v>34102.727272727272</v>
      </c>
    </row>
    <row r="100" spans="1:21" ht="42.75" customHeight="1" x14ac:dyDescent="0.3">
      <c r="A100" s="98" t="s">
        <v>235</v>
      </c>
      <c r="B100" s="46" t="s">
        <v>237</v>
      </c>
      <c r="C100" s="43" t="s">
        <v>233</v>
      </c>
      <c r="D100" s="101" t="s">
        <v>232</v>
      </c>
      <c r="E100" s="43">
        <v>0</v>
      </c>
      <c r="F100" s="51">
        <v>0</v>
      </c>
      <c r="G100" s="51">
        <v>550.62</v>
      </c>
      <c r="H100" s="51">
        <v>16159.5</v>
      </c>
      <c r="I100" s="59">
        <v>239.4</v>
      </c>
      <c r="J100" s="59">
        <v>2577.48</v>
      </c>
      <c r="K100" s="59">
        <v>2587.9139999999998</v>
      </c>
      <c r="L100" s="59">
        <v>323.19</v>
      </c>
      <c r="M100" s="59">
        <v>0</v>
      </c>
      <c r="N100" s="59">
        <v>0</v>
      </c>
      <c r="O100" s="59">
        <v>12847.8</v>
      </c>
      <c r="P100" s="59">
        <v>0</v>
      </c>
      <c r="Q100" s="59">
        <v>1615.95</v>
      </c>
      <c r="R100" s="57">
        <f t="shared" si="7"/>
        <v>36901.853999999992</v>
      </c>
      <c r="S100" s="99">
        <f t="shared" si="5"/>
        <v>279.55949999999996</v>
      </c>
      <c r="T100" s="99">
        <v>14</v>
      </c>
      <c r="U100" s="100">
        <f t="shared" si="6"/>
        <v>3913.8329999999996</v>
      </c>
    </row>
    <row r="101" spans="1:21" ht="42.75" customHeight="1" x14ac:dyDescent="0.3">
      <c r="A101" s="98" t="s">
        <v>235</v>
      </c>
      <c r="B101" s="46" t="s">
        <v>234</v>
      </c>
      <c r="C101" s="43" t="s">
        <v>233</v>
      </c>
      <c r="D101" s="101" t="s">
        <v>232</v>
      </c>
      <c r="E101" s="43">
        <v>1377.06</v>
      </c>
      <c r="F101" s="51">
        <v>0</v>
      </c>
      <c r="G101" s="51">
        <v>0</v>
      </c>
      <c r="H101" s="51">
        <v>23184</v>
      </c>
      <c r="I101" s="59">
        <v>0</v>
      </c>
      <c r="J101" s="59">
        <v>3709.9920000000002</v>
      </c>
      <c r="K101" s="59">
        <v>0</v>
      </c>
      <c r="L101" s="59">
        <v>463.67999999999995</v>
      </c>
      <c r="M101" s="59">
        <v>810.6</v>
      </c>
      <c r="N101" s="59">
        <v>0</v>
      </c>
      <c r="O101" s="59">
        <v>0</v>
      </c>
      <c r="P101" s="59">
        <v>2431.8000000000002</v>
      </c>
      <c r="Q101" s="59">
        <v>2318.3999999999996</v>
      </c>
      <c r="R101" s="57">
        <f t="shared" si="7"/>
        <v>34295.531999999999</v>
      </c>
      <c r="S101" s="99">
        <f t="shared" si="5"/>
        <v>259.81463636363634</v>
      </c>
      <c r="T101" s="99">
        <v>14</v>
      </c>
      <c r="U101" s="100">
        <f t="shared" si="6"/>
        <v>3637.4049090909089</v>
      </c>
    </row>
    <row r="102" spans="1:21" ht="42.75" customHeight="1" x14ac:dyDescent="0.3">
      <c r="A102" s="98" t="s">
        <v>231</v>
      </c>
      <c r="B102" s="46" t="s">
        <v>230</v>
      </c>
      <c r="C102" s="43" t="s">
        <v>229</v>
      </c>
      <c r="D102" s="43"/>
      <c r="E102" s="43">
        <v>1500</v>
      </c>
      <c r="F102" s="51">
        <v>1200</v>
      </c>
      <c r="G102" s="51">
        <v>300</v>
      </c>
      <c r="H102" s="51">
        <v>7000</v>
      </c>
      <c r="I102" s="59">
        <v>1200</v>
      </c>
      <c r="J102" s="59">
        <v>2820</v>
      </c>
      <c r="K102" s="59">
        <v>1410</v>
      </c>
      <c r="L102" s="59">
        <v>140</v>
      </c>
      <c r="M102" s="59">
        <v>700</v>
      </c>
      <c r="N102" s="59">
        <v>12000</v>
      </c>
      <c r="O102" s="59">
        <v>7000</v>
      </c>
      <c r="P102" s="59">
        <v>2100</v>
      </c>
      <c r="Q102" s="59">
        <v>700</v>
      </c>
      <c r="R102" s="57">
        <f t="shared" si="7"/>
        <v>38070</v>
      </c>
      <c r="S102" s="99">
        <f t="shared" si="5"/>
        <v>288.40909090909093</v>
      </c>
      <c r="T102" s="99">
        <v>7</v>
      </c>
      <c r="U102" s="100">
        <f t="shared" si="6"/>
        <v>2018.8636363636365</v>
      </c>
    </row>
    <row r="103" spans="1:21" ht="42.75" customHeight="1" x14ac:dyDescent="0.3">
      <c r="A103" s="98" t="s">
        <v>226</v>
      </c>
      <c r="B103" s="46" t="s">
        <v>227</v>
      </c>
      <c r="C103" s="43" t="s">
        <v>224</v>
      </c>
      <c r="D103" s="101" t="s">
        <v>223</v>
      </c>
      <c r="E103" s="43">
        <v>0</v>
      </c>
      <c r="F103" s="51">
        <v>0</v>
      </c>
      <c r="G103" s="51">
        <v>0</v>
      </c>
      <c r="H103" s="51">
        <v>0</v>
      </c>
      <c r="I103" s="59">
        <v>360</v>
      </c>
      <c r="J103" s="59">
        <v>0</v>
      </c>
      <c r="K103" s="59">
        <v>0</v>
      </c>
      <c r="L103" s="59">
        <v>0</v>
      </c>
      <c r="M103" s="59">
        <v>0</v>
      </c>
      <c r="N103" s="59">
        <v>0</v>
      </c>
      <c r="O103" s="59">
        <v>0</v>
      </c>
      <c r="P103" s="59">
        <v>0</v>
      </c>
      <c r="Q103" s="59">
        <v>0</v>
      </c>
      <c r="R103" s="57">
        <f t="shared" si="7"/>
        <v>360</v>
      </c>
      <c r="S103" s="99">
        <f t="shared" si="5"/>
        <v>2.7272727272727271</v>
      </c>
      <c r="T103" s="99">
        <v>14</v>
      </c>
      <c r="U103" s="100">
        <f t="shared" si="6"/>
        <v>38.18181818181818</v>
      </c>
    </row>
    <row r="104" spans="1:21" ht="42.75" customHeight="1" x14ac:dyDescent="0.3">
      <c r="A104" s="103" t="s">
        <v>226</v>
      </c>
      <c r="B104" s="86" t="s">
        <v>225</v>
      </c>
      <c r="C104" s="104" t="s">
        <v>224</v>
      </c>
      <c r="D104" s="105" t="s">
        <v>223</v>
      </c>
      <c r="E104" s="104">
        <v>0</v>
      </c>
      <c r="F104" s="74">
        <v>0</v>
      </c>
      <c r="G104" s="74">
        <v>0</v>
      </c>
      <c r="H104" s="74">
        <v>14000</v>
      </c>
      <c r="I104" s="87">
        <v>360</v>
      </c>
      <c r="J104" s="87">
        <v>2256</v>
      </c>
      <c r="K104" s="87">
        <v>0</v>
      </c>
      <c r="L104" s="87">
        <v>280</v>
      </c>
      <c r="M104" s="87">
        <v>0</v>
      </c>
      <c r="N104" s="87">
        <v>0</v>
      </c>
      <c r="O104" s="87">
        <v>0</v>
      </c>
      <c r="P104" s="87">
        <v>0</v>
      </c>
      <c r="Q104" s="87">
        <v>1400</v>
      </c>
      <c r="R104" s="106">
        <f t="shared" si="7"/>
        <v>18296</v>
      </c>
      <c r="S104" s="107">
        <f t="shared" si="5"/>
        <v>138.60606060606059</v>
      </c>
      <c r="T104" s="107">
        <v>14</v>
      </c>
      <c r="U104" s="108">
        <f t="shared" si="6"/>
        <v>1940.4848484848483</v>
      </c>
    </row>
    <row r="106" spans="1:21" x14ac:dyDescent="0.3">
      <c r="A106" s="110" t="s">
        <v>0</v>
      </c>
      <c r="B106" s="110" t="s">
        <v>1</v>
      </c>
      <c r="C106" s="110" t="s">
        <v>2</v>
      </c>
      <c r="D106" s="110" t="s">
        <v>3</v>
      </c>
      <c r="E106" s="111" t="s">
        <v>222</v>
      </c>
      <c r="F106" s="110" t="s">
        <v>4</v>
      </c>
      <c r="G106" s="110" t="s">
        <v>5</v>
      </c>
      <c r="H106" s="110" t="s">
        <v>6</v>
      </c>
      <c r="I106" s="110" t="s">
        <v>7</v>
      </c>
      <c r="J106" s="110" t="s">
        <v>8</v>
      </c>
      <c r="K106" s="110" t="s">
        <v>9</v>
      </c>
    </row>
    <row r="107" spans="1:21" x14ac:dyDescent="0.3">
      <c r="A107" s="112" t="s">
        <v>221</v>
      </c>
      <c r="B107" s="113" t="s">
        <v>217</v>
      </c>
      <c r="C107" s="112" t="s">
        <v>23</v>
      </c>
      <c r="D107" s="112" t="s">
        <v>220</v>
      </c>
      <c r="E107" s="114">
        <v>30</v>
      </c>
      <c r="F107" s="115">
        <v>0.46153846153846156</v>
      </c>
      <c r="G107" s="114">
        <v>100</v>
      </c>
      <c r="H107" s="116">
        <v>45962</v>
      </c>
      <c r="I107" s="116">
        <v>46082</v>
      </c>
      <c r="J107" s="112" t="s">
        <v>14</v>
      </c>
      <c r="K107" s="112">
        <v>2026</v>
      </c>
    </row>
    <row r="108" spans="1:21" x14ac:dyDescent="0.3">
      <c r="A108" s="112" t="s">
        <v>219</v>
      </c>
      <c r="B108" s="113" t="s">
        <v>217</v>
      </c>
      <c r="C108" s="112" t="s">
        <v>29</v>
      </c>
      <c r="D108" s="112" t="s">
        <v>202</v>
      </c>
      <c r="E108" s="114">
        <v>30</v>
      </c>
      <c r="F108" s="115">
        <v>6.9230769230769235E-2</v>
      </c>
      <c r="G108" s="114">
        <v>100</v>
      </c>
      <c r="H108" s="116">
        <v>45962</v>
      </c>
      <c r="I108" s="116">
        <v>46082</v>
      </c>
      <c r="J108" s="112" t="s">
        <v>14</v>
      </c>
      <c r="K108" s="112">
        <v>2026</v>
      </c>
    </row>
    <row r="109" spans="1:21" x14ac:dyDescent="0.3">
      <c r="A109" s="112" t="s">
        <v>218</v>
      </c>
      <c r="B109" s="113" t="s">
        <v>217</v>
      </c>
      <c r="C109" s="112" t="s">
        <v>23</v>
      </c>
      <c r="D109" s="112" t="s">
        <v>199</v>
      </c>
      <c r="E109" s="114">
        <v>30</v>
      </c>
      <c r="F109" s="115">
        <v>3.4265734265734267E-2</v>
      </c>
      <c r="G109" s="114">
        <v>100</v>
      </c>
      <c r="H109" s="116">
        <v>45962</v>
      </c>
      <c r="I109" s="116">
        <v>46082</v>
      </c>
      <c r="J109" s="112" t="s">
        <v>14</v>
      </c>
      <c r="K109" s="112">
        <v>2026</v>
      </c>
    </row>
    <row r="110" spans="1:21" x14ac:dyDescent="0.3">
      <c r="A110" s="112" t="s">
        <v>216</v>
      </c>
      <c r="B110" s="113" t="s">
        <v>215</v>
      </c>
      <c r="C110" s="112" t="s">
        <v>19</v>
      </c>
      <c r="D110" s="112" t="s">
        <v>193</v>
      </c>
      <c r="E110" s="114">
        <v>700</v>
      </c>
      <c r="F110" s="115">
        <v>0.53846153846153855</v>
      </c>
      <c r="G110" s="114">
        <v>100</v>
      </c>
      <c r="H110" s="116">
        <v>45962</v>
      </c>
      <c r="I110" s="116">
        <v>46113</v>
      </c>
      <c r="J110" s="112" t="s">
        <v>192</v>
      </c>
      <c r="K110" s="112">
        <v>2026</v>
      </c>
    </row>
    <row r="111" spans="1:21" x14ac:dyDescent="0.3">
      <c r="A111" s="112" t="s">
        <v>214</v>
      </c>
      <c r="B111" s="113" t="s">
        <v>213</v>
      </c>
      <c r="C111" s="112" t="s">
        <v>19</v>
      </c>
      <c r="D111" s="112" t="s">
        <v>212</v>
      </c>
      <c r="E111" s="114">
        <v>1</v>
      </c>
      <c r="F111" s="115">
        <v>0.34615384615384615</v>
      </c>
      <c r="G111" s="114">
        <v>100</v>
      </c>
      <c r="H111" s="116">
        <v>45962</v>
      </c>
      <c r="I111" s="116">
        <v>46174</v>
      </c>
      <c r="J111" s="112" t="s">
        <v>14</v>
      </c>
      <c r="K111" s="112">
        <v>2026</v>
      </c>
    </row>
    <row r="112" spans="1:21" x14ac:dyDescent="0.3">
      <c r="A112" s="112" t="s">
        <v>211</v>
      </c>
      <c r="B112" s="113" t="s">
        <v>207</v>
      </c>
      <c r="C112" s="112" t="s">
        <v>200</v>
      </c>
      <c r="D112" s="112" t="s">
        <v>210</v>
      </c>
      <c r="E112" s="114">
        <f>47*3</f>
        <v>141</v>
      </c>
      <c r="F112" s="115">
        <v>0.26923076923076922</v>
      </c>
      <c r="G112" s="114">
        <v>100</v>
      </c>
      <c r="H112" s="116">
        <v>45962</v>
      </c>
      <c r="I112" s="116">
        <v>46143</v>
      </c>
      <c r="J112" s="112" t="s">
        <v>14</v>
      </c>
      <c r="K112" s="112">
        <v>2026</v>
      </c>
    </row>
    <row r="113" spans="1:11" x14ac:dyDescent="0.3">
      <c r="A113" s="112" t="s">
        <v>209</v>
      </c>
      <c r="B113" s="113" t="s">
        <v>207</v>
      </c>
      <c r="C113" s="112" t="s">
        <v>200</v>
      </c>
      <c r="D113" s="112" t="s">
        <v>199</v>
      </c>
      <c r="E113" s="114">
        <v>141</v>
      </c>
      <c r="F113" s="115">
        <v>0.15076923076923077</v>
      </c>
      <c r="G113" s="114">
        <v>100</v>
      </c>
      <c r="H113" s="116">
        <v>45962</v>
      </c>
      <c r="I113" s="116">
        <v>46143</v>
      </c>
      <c r="J113" s="112" t="s">
        <v>14</v>
      </c>
      <c r="K113" s="112">
        <v>2026</v>
      </c>
    </row>
    <row r="114" spans="1:11" x14ac:dyDescent="0.3">
      <c r="A114" s="112" t="s">
        <v>208</v>
      </c>
      <c r="B114" s="113" t="s">
        <v>207</v>
      </c>
      <c r="C114" s="112" t="s">
        <v>19</v>
      </c>
      <c r="D114" s="112" t="s">
        <v>193</v>
      </c>
      <c r="E114" s="114">
        <v>14</v>
      </c>
      <c r="F114" s="115">
        <v>1.0769230769230771E-2</v>
      </c>
      <c r="G114" s="114">
        <v>100</v>
      </c>
      <c r="H114" s="116">
        <v>45962</v>
      </c>
      <c r="I114" s="116">
        <v>46143</v>
      </c>
      <c r="J114" s="112" t="s">
        <v>192</v>
      </c>
      <c r="K114" s="112">
        <v>2026</v>
      </c>
    </row>
    <row r="115" spans="1:11" x14ac:dyDescent="0.3">
      <c r="A115" s="112" t="s">
        <v>206</v>
      </c>
      <c r="B115" s="117" t="s">
        <v>205</v>
      </c>
      <c r="C115" s="112" t="s">
        <v>197</v>
      </c>
      <c r="D115" s="112" t="s">
        <v>196</v>
      </c>
      <c r="E115" s="114">
        <v>70</v>
      </c>
      <c r="F115" s="115">
        <v>0.31538461538461537</v>
      </c>
      <c r="G115" s="114">
        <v>100</v>
      </c>
      <c r="H115" s="116">
        <v>45962</v>
      </c>
      <c r="I115" s="116">
        <v>46082</v>
      </c>
      <c r="J115" s="112" t="s">
        <v>192</v>
      </c>
      <c r="K115" s="112">
        <v>2026</v>
      </c>
    </row>
    <row r="116" spans="1:11" x14ac:dyDescent="0.3">
      <c r="A116" s="112" t="s">
        <v>204</v>
      </c>
      <c r="B116" s="117" t="s">
        <v>203</v>
      </c>
      <c r="C116" s="112" t="s">
        <v>29</v>
      </c>
      <c r="D116" s="112" t="s">
        <v>202</v>
      </c>
      <c r="E116" s="114">
        <v>300</v>
      </c>
      <c r="F116" s="115">
        <v>0.69230769230769229</v>
      </c>
      <c r="G116" s="114">
        <v>100</v>
      </c>
      <c r="H116" s="116">
        <v>45962</v>
      </c>
      <c r="I116" s="116">
        <v>46113</v>
      </c>
      <c r="J116" s="112" t="s">
        <v>192</v>
      </c>
      <c r="K116" s="112">
        <v>2026</v>
      </c>
    </row>
    <row r="117" spans="1:11" x14ac:dyDescent="0.3">
      <c r="A117" s="112" t="s">
        <v>201</v>
      </c>
      <c r="B117" s="113" t="s">
        <v>194</v>
      </c>
      <c r="C117" s="112" t="s">
        <v>200</v>
      </c>
      <c r="D117" s="112" t="s">
        <v>199</v>
      </c>
      <c r="E117" s="114">
        <v>700</v>
      </c>
      <c r="F117" s="115">
        <v>0.75384615384615383</v>
      </c>
      <c r="G117" s="114">
        <v>100</v>
      </c>
      <c r="H117" s="116">
        <v>45962</v>
      </c>
      <c r="I117" s="116">
        <v>46143</v>
      </c>
      <c r="J117" s="112" t="s">
        <v>192</v>
      </c>
      <c r="K117" s="112">
        <v>2026</v>
      </c>
    </row>
    <row r="118" spans="1:11" x14ac:dyDescent="0.3">
      <c r="A118" s="112" t="s">
        <v>198</v>
      </c>
      <c r="B118" s="113" t="s">
        <v>194</v>
      </c>
      <c r="C118" s="112" t="s">
        <v>197</v>
      </c>
      <c r="D118" s="112" t="s">
        <v>196</v>
      </c>
      <c r="E118" s="114">
        <v>210</v>
      </c>
      <c r="F118" s="115">
        <v>0.94615384615384612</v>
      </c>
      <c r="G118" s="114">
        <v>100</v>
      </c>
      <c r="H118" s="116">
        <v>45962</v>
      </c>
      <c r="I118" s="116">
        <v>46143</v>
      </c>
      <c r="J118" s="112" t="s">
        <v>192</v>
      </c>
      <c r="K118" s="112">
        <v>2026</v>
      </c>
    </row>
    <row r="119" spans="1:11" x14ac:dyDescent="0.3">
      <c r="A119" s="112" t="s">
        <v>195</v>
      </c>
      <c r="B119" s="113" t="s">
        <v>194</v>
      </c>
      <c r="C119" s="112" t="s">
        <v>19</v>
      </c>
      <c r="D119" s="112" t="s">
        <v>193</v>
      </c>
      <c r="E119" s="114">
        <v>70</v>
      </c>
      <c r="F119" s="115">
        <v>5.3846153846153856E-2</v>
      </c>
      <c r="G119" s="114">
        <v>100</v>
      </c>
      <c r="H119" s="116">
        <v>45962</v>
      </c>
      <c r="I119" s="116">
        <v>46143</v>
      </c>
      <c r="J119" s="112" t="s">
        <v>192</v>
      </c>
      <c r="K119" s="112">
        <v>2026</v>
      </c>
    </row>
    <row r="120" spans="1:11" x14ac:dyDescent="0.3">
      <c r="E120" s="40" t="s">
        <v>415</v>
      </c>
      <c r="F120" s="118">
        <f>SUM(F107:F119)</f>
        <v>4.6419580419580422</v>
      </c>
    </row>
    <row r="121" spans="1:11" x14ac:dyDescent="0.3">
      <c r="E121" s="40" t="s">
        <v>414</v>
      </c>
      <c r="F121" s="119">
        <f>F120/12.56</f>
        <v>0.36958264665271034</v>
      </c>
    </row>
    <row r="122" spans="1:11" x14ac:dyDescent="0.3">
      <c r="E122" s="40" t="s">
        <v>416</v>
      </c>
      <c r="F122" s="120">
        <f>F121*356</f>
        <v>131.57142220836488</v>
      </c>
    </row>
  </sheetData>
  <conditionalFormatting sqref="A1">
    <cfRule type="duplicateValues" dxfId="1" priority="1"/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Inventory level</vt:lpstr>
      <vt:lpstr>Project Data</vt:lpstr>
      <vt:lpstr>Data-quarterly</vt:lpstr>
      <vt:lpstr>New order</vt:lpstr>
      <vt:lpstr>BOM</vt:lpstr>
      <vt:lpstr>Supplier evalutaion</vt:lpstr>
      <vt:lpstr>Requirement</vt:lpstr>
      <vt:lpstr>Manage stocks</vt:lpstr>
      <vt:lpstr>safety stocks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HOANG DUY</cp:lastModifiedBy>
  <cp:lastPrinted>2025-12-17T09:05:48Z</cp:lastPrinted>
  <dcterms:created xsi:type="dcterms:W3CDTF">2025-10-24T18:25:47Z</dcterms:created>
  <dcterms:modified xsi:type="dcterms:W3CDTF">2026-01-28T03:30:37Z</dcterms:modified>
</cp:coreProperties>
</file>